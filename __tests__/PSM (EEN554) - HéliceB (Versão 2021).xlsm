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Leonardo\Desktop\heliceb-automation-main\__tests__\"/>
    </mc:Choice>
  </mc:AlternateContent>
  <bookViews>
    <workbookView xWindow="0" yWindow="0" windowWidth="23040" windowHeight="8616"/>
  </bookViews>
  <sheets>
    <sheet name="Principal" sheetId="13" r:id="rId1"/>
    <sheet name="Cálculo" sheetId="2" r:id="rId2"/>
    <sheet name="Cavitação" sheetId="18" r:id="rId3"/>
    <sheet name="Curvas KT, KQ x J" sheetId="16" r:id="rId4"/>
    <sheet name="Propriedades" sheetId="11" r:id="rId5"/>
    <sheet name="Referências" sheetId="19" r:id="rId6"/>
  </sheets>
  <externalReferences>
    <externalReference r:id="rId7"/>
    <externalReference r:id="rId8"/>
  </externalReferences>
  <definedNames>
    <definedName name="_ccc075" localSheetId="2">[1]Seleção!#REF!</definedName>
    <definedName name="_ccc075" localSheetId="5">[2]Dados!#REF!</definedName>
    <definedName name="_ccc075">#N/A</definedName>
    <definedName name="_ccc1">#N/A</definedName>
    <definedName name="_ccc12">#N/A</definedName>
    <definedName name="_ccc14">#N/A</definedName>
    <definedName name="_ccc15">#N/A</definedName>
    <definedName name="_ccc16">#N/A</definedName>
    <definedName name="_ccc17">#N/A</definedName>
    <definedName name="_ccc19">#N/A</definedName>
    <definedName name="_ccc2">#N/A</definedName>
    <definedName name="_ccc20">#N/A</definedName>
    <definedName name="_ccc3">#N/A</definedName>
    <definedName name="_ccc4">#N/A</definedName>
    <definedName name="_ccc5">#N/A</definedName>
    <definedName name="_ccc6">#N/A</definedName>
    <definedName name="_ccc7">#N/A</definedName>
    <definedName name="_ccc8">#N/A</definedName>
    <definedName name="_ccc9">#N/A</definedName>
    <definedName name="_ccp1">#N/A</definedName>
    <definedName name="_crw1">#N/A</definedName>
    <definedName name="_crw2">#N/A</definedName>
    <definedName name="_dia1">#N/A</definedName>
    <definedName name="_hbb1">#N/A</definedName>
    <definedName name="_kk2">#N/A</definedName>
    <definedName name="_kkm1">#N/A</definedName>
    <definedName name="_lcb1">#N/A</definedName>
    <definedName name="_mmm1">#N/A</definedName>
    <definedName name="_mmm3">#N/A</definedName>
    <definedName name="_mmm4">#N/A</definedName>
    <definedName name="_rot1">#N/A</definedName>
    <definedName name="_vr2">#N/A</definedName>
    <definedName name="_vva1">#N/A</definedName>
    <definedName name="asmol">#N/A</definedName>
    <definedName name="atr">#N/A</definedName>
    <definedName name="atrs">#N/A</definedName>
    <definedName name="boca">#N/A</definedName>
    <definedName name="bsl">#N/A</definedName>
    <definedName name="bsta">#N/A</definedName>
    <definedName name="caa" localSheetId="2">[1]Seleção!#REF!</definedName>
    <definedName name="caa" localSheetId="5">[2]Dados!#REF!</definedName>
    <definedName name="caa">#N/A</definedName>
    <definedName name="cal">#N/A</definedName>
    <definedName name="calar">#N/A</definedName>
    <definedName name="cbb">#N/A</definedName>
    <definedName name="ccav">#N/A</definedName>
    <definedName name="ccca">#N/A</definedName>
    <definedName name="cff">#N/A</definedName>
    <definedName name="clwl">#N/A</definedName>
    <definedName name="cpp">#N/A</definedName>
    <definedName name="csm">#N/A</definedName>
    <definedName name="cstern">#N/A</definedName>
    <definedName name="cvv">#N/A</definedName>
    <definedName name="ddd">#N/A</definedName>
    <definedName name="desloc">#N/A</definedName>
    <definedName name="dprop">#N/A</definedName>
    <definedName name="ehp">#N/A</definedName>
    <definedName name="fasf">#N/A</definedName>
    <definedName name="fnii">#N/A</definedName>
    <definedName name="fnn">#N/A</definedName>
    <definedName name="fnnt">#N/A</definedName>
    <definedName name="frt">#N/A</definedName>
    <definedName name="ftt">#N/A</definedName>
    <definedName name="grav">#N/A</definedName>
    <definedName name="hbb">#N/A</definedName>
    <definedName name="hprop">#N/A</definedName>
    <definedName name="hra">#N/A</definedName>
    <definedName name="hrapp">#N/A</definedName>
    <definedName name="hrb">#N/A</definedName>
    <definedName name="hrf">#N/A</definedName>
    <definedName name="hrtr">#N/A</definedName>
    <definedName name="hrw">#N/A</definedName>
    <definedName name="iie">#N/A</definedName>
    <definedName name="kkm">#N/A</definedName>
    <definedName name="lambda">#N/A</definedName>
    <definedName name="lcb">#N/A</definedName>
    <definedName name="lpp">#N/A</definedName>
    <definedName name="lrr">#N/A</definedName>
    <definedName name="ls3vol">#N/A</definedName>
    <definedName name="lsb">#N/A</definedName>
    <definedName name="lsbm2">#N/A</definedName>
    <definedName name="lslr">#N/A</definedName>
    <definedName name="lsta">#N/A</definedName>
    <definedName name="lwl">#N/A</definedName>
    <definedName name="mii">#N/A</definedName>
    <definedName name="ncav">#N/A</definedName>
    <definedName name="nii">#N/A</definedName>
    <definedName name="Nmprop">#N/A</definedName>
    <definedName name="nprop">#N/A</definedName>
    <definedName name="nrr">#N/A</definedName>
    <definedName name="pbb">#N/A</definedName>
    <definedName name="psd">#N/A</definedName>
    <definedName name="renab">#N/A</definedName>
    <definedName name="rend">#N/A</definedName>
    <definedName name="Rey">#N/A</definedName>
    <definedName name="rfaf">#N/A</definedName>
    <definedName name="roo" localSheetId="2">[1]Seleção!$H$145</definedName>
    <definedName name="roo">#N/A</definedName>
    <definedName name="rot">#N/A</definedName>
    <definedName name="rpd">#N/A</definedName>
    <definedName name="rwa">#N/A</definedName>
    <definedName name="rwb">#N/A</definedName>
    <definedName name="sapp">#N/A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  <definedName name="supmol">#N/A</definedName>
    <definedName name="tasd">#N/A</definedName>
    <definedName name="tcm">#N/A</definedName>
    <definedName name="tsb">#N/A</definedName>
    <definedName name="tsl">#N/A</definedName>
    <definedName name="ttt">#N/A</definedName>
    <definedName name="velms" localSheetId="2">[1]Seleção!$C$172</definedName>
    <definedName name="velms">#N/A</definedName>
    <definedName name="veloc">#N/A</definedName>
    <definedName name="volsl3">#N/A</definedName>
    <definedName name="vva">#N/A</definedName>
    <definedName name="www">#N/A</definedName>
    <definedName name="zzz">#N/A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5" i="13" l="1"/>
  <c r="I141" i="2" l="1"/>
  <c r="E51" i="13"/>
  <c r="E50" i="13"/>
  <c r="F7" i="18" l="1"/>
  <c r="F11" i="2"/>
  <c r="F148" i="2" s="1"/>
  <c r="F10" i="2"/>
  <c r="G157" i="2" s="1"/>
  <c r="F9" i="2"/>
  <c r="E157" i="2" s="1"/>
  <c r="C10" i="2"/>
  <c r="C11" i="2" s="1"/>
  <c r="C26" i="2" s="1"/>
  <c r="C9" i="2"/>
  <c r="J12" i="13"/>
  <c r="K24" i="13" s="1"/>
  <c r="K23" i="13" s="1"/>
  <c r="H144" i="2"/>
  <c r="H145" i="2"/>
  <c r="H146" i="2"/>
  <c r="H147" i="2"/>
  <c r="H148" i="2"/>
  <c r="H149" i="2"/>
  <c r="H142" i="2"/>
  <c r="H143" i="2"/>
  <c r="C20" i="18"/>
  <c r="I25" i="18" s="1"/>
  <c r="H24" i="18"/>
  <c r="H25" i="18"/>
  <c r="H26" i="18"/>
  <c r="H27" i="18"/>
  <c r="H28" i="18"/>
  <c r="H29" i="18"/>
  <c r="H30" i="18"/>
  <c r="H31" i="18"/>
  <c r="H32" i="18"/>
  <c r="E8" i="11"/>
  <c r="H162" i="2"/>
  <c r="H163" i="2"/>
  <c r="I155" i="2"/>
  <c r="E7" i="11"/>
  <c r="E11" i="11"/>
  <c r="E12" i="11"/>
  <c r="C9" i="18" s="1"/>
  <c r="E13" i="11"/>
  <c r="E9" i="11"/>
  <c r="C7" i="18" l="1"/>
  <c r="C8" i="18" s="1"/>
  <c r="C11" i="18" s="1"/>
  <c r="F26" i="2"/>
  <c r="F25" i="2" s="1"/>
  <c r="I28" i="18"/>
  <c r="J27" i="18"/>
  <c r="J29" i="18"/>
  <c r="J31" i="18"/>
  <c r="K32" i="18"/>
  <c r="I26" i="18"/>
  <c r="K28" i="18"/>
  <c r="K31" i="18"/>
  <c r="K29" i="18"/>
  <c r="K24" i="18"/>
  <c r="J26" i="18"/>
  <c r="I31" i="18"/>
  <c r="K30" i="18"/>
  <c r="I27" i="18"/>
  <c r="J24" i="18"/>
  <c r="I24" i="18"/>
  <c r="I30" i="18"/>
  <c r="K25" i="18"/>
  <c r="J25" i="18"/>
  <c r="K26" i="18"/>
  <c r="I29" i="18"/>
  <c r="J32" i="18"/>
  <c r="K27" i="18"/>
  <c r="J30" i="18"/>
  <c r="J28" i="18"/>
  <c r="I32" i="18"/>
  <c r="D50" i="13"/>
  <c r="D51" i="13"/>
  <c r="F8" i="18"/>
  <c r="F9" i="18" s="1"/>
  <c r="C25" i="2"/>
  <c r="F149" i="2"/>
  <c r="F142" i="2"/>
  <c r="I142" i="2" s="1"/>
  <c r="F162" i="2"/>
  <c r="E164" i="2"/>
  <c r="E149" i="2"/>
  <c r="E147" i="2"/>
  <c r="E163" i="2"/>
  <c r="E148" i="2"/>
  <c r="E165" i="2"/>
  <c r="F163" i="2"/>
  <c r="F167" i="2"/>
  <c r="H123" i="2"/>
  <c r="H45" i="2"/>
  <c r="H102" i="2"/>
  <c r="H101" i="2"/>
  <c r="G161" i="2"/>
  <c r="F158" i="2"/>
  <c r="I158" i="2" s="1"/>
  <c r="F147" i="2"/>
  <c r="H99" i="2"/>
  <c r="H116" i="2"/>
  <c r="G165" i="2"/>
  <c r="G145" i="2"/>
  <c r="H118" i="2"/>
  <c r="G156" i="2"/>
  <c r="I156" i="2" s="1"/>
  <c r="H74" i="2"/>
  <c r="H91" i="2"/>
  <c r="H120" i="2"/>
  <c r="H127" i="2"/>
  <c r="G143" i="2"/>
  <c r="G163" i="2"/>
  <c r="H122" i="2"/>
  <c r="H87" i="2"/>
  <c r="H70" i="2"/>
  <c r="H106" i="2"/>
  <c r="H117" i="2"/>
  <c r="H62" i="2"/>
  <c r="H108" i="2"/>
  <c r="H92" i="2"/>
  <c r="H133" i="2"/>
  <c r="H85" i="2"/>
  <c r="G164" i="2"/>
  <c r="H51" i="2"/>
  <c r="G160" i="2"/>
  <c r="H112" i="2"/>
  <c r="H60" i="2"/>
  <c r="G149" i="2"/>
  <c r="H121" i="2"/>
  <c r="G148" i="2"/>
  <c r="H97" i="2"/>
  <c r="H96" i="2"/>
  <c r="H113" i="2"/>
  <c r="H68" i="2"/>
  <c r="H77" i="2"/>
  <c r="H73" i="2"/>
  <c r="H83" i="2"/>
  <c r="H55" i="2"/>
  <c r="H125" i="2"/>
  <c r="G146" i="2"/>
  <c r="H44" i="2"/>
  <c r="H63" i="2"/>
  <c r="H57" i="2"/>
  <c r="H46" i="2"/>
  <c r="H48" i="2"/>
  <c r="H132" i="2"/>
  <c r="H71" i="2"/>
  <c r="H130" i="2"/>
  <c r="H114" i="2"/>
  <c r="H76" i="2"/>
  <c r="H66" i="2"/>
  <c r="H43" i="2"/>
  <c r="G159" i="2"/>
  <c r="H107" i="2"/>
  <c r="H50" i="2"/>
  <c r="H105" i="2"/>
  <c r="H67" i="2"/>
  <c r="H59" i="2"/>
  <c r="H53" i="2"/>
  <c r="H94" i="2"/>
  <c r="H54" i="2"/>
  <c r="H86" i="2"/>
  <c r="F144" i="2"/>
  <c r="F166" i="2"/>
  <c r="H89" i="2"/>
  <c r="H110" i="2"/>
  <c r="F143" i="2"/>
  <c r="H131" i="2"/>
  <c r="H72" i="2"/>
  <c r="H109" i="2"/>
  <c r="H88" i="2"/>
  <c r="H61" i="2"/>
  <c r="H128" i="2"/>
  <c r="I157" i="2"/>
  <c r="H41" i="2"/>
  <c r="H78" i="2"/>
  <c r="H52" i="2"/>
  <c r="H39" i="2"/>
  <c r="H100" i="2"/>
  <c r="H119" i="2"/>
  <c r="H64" i="2"/>
  <c r="H37" i="2"/>
  <c r="H65" i="2"/>
  <c r="H49" i="2"/>
  <c r="H56" i="2"/>
  <c r="E162" i="2"/>
  <c r="H111" i="2"/>
  <c r="H95" i="2"/>
  <c r="H129" i="2"/>
  <c r="H103" i="2"/>
  <c r="H90" i="2"/>
  <c r="H42" i="2"/>
  <c r="H40" i="2"/>
  <c r="H75" i="2"/>
  <c r="H98" i="2"/>
  <c r="H124" i="2"/>
  <c r="H38" i="2"/>
  <c r="H84" i="2"/>
  <c r="C13" i="18" l="1"/>
  <c r="I143" i="2"/>
  <c r="F27" i="2"/>
  <c r="H134" i="2"/>
  <c r="F29" i="2" s="1"/>
  <c r="H79" i="2"/>
  <c r="D164" i="2" l="1"/>
  <c r="I164" i="2" s="1"/>
  <c r="D147" i="2"/>
  <c r="I147" i="2" s="1"/>
  <c r="D163" i="2"/>
  <c r="I163" i="2" s="1"/>
  <c r="D145" i="2"/>
  <c r="I145" i="2" s="1"/>
  <c r="D160" i="2"/>
  <c r="I160" i="2" s="1"/>
  <c r="D146" i="2"/>
  <c r="I146" i="2" s="1"/>
  <c r="D144" i="2"/>
  <c r="I144" i="2" s="1"/>
  <c r="D161" i="2"/>
  <c r="I161" i="2" s="1"/>
  <c r="D162" i="2"/>
  <c r="I162" i="2" s="1"/>
  <c r="D159" i="2"/>
  <c r="I159" i="2" s="1"/>
  <c r="D165" i="2"/>
  <c r="I165" i="2" s="1"/>
  <c r="D167" i="2"/>
  <c r="I167" i="2" s="1"/>
  <c r="D148" i="2"/>
  <c r="I148" i="2" s="1"/>
  <c r="D166" i="2"/>
  <c r="I166" i="2" s="1"/>
  <c r="D149" i="2"/>
  <c r="I149" i="2" s="1"/>
  <c r="I168" i="2" l="1"/>
  <c r="F30" i="2" s="1"/>
  <c r="C18" i="2" s="1"/>
  <c r="F18" i="2" s="1"/>
  <c r="F19" i="2" s="1"/>
  <c r="I150" i="2"/>
  <c r="C30" i="2" s="1"/>
  <c r="C17" i="2" s="1"/>
  <c r="K21" i="13" s="1"/>
  <c r="C19" i="2" l="1"/>
  <c r="F17" i="2"/>
  <c r="C12" i="18" l="1"/>
  <c r="C14" i="18" s="1"/>
  <c r="D14" i="18" s="1"/>
  <c r="K35" i="13" s="1"/>
</calcChain>
</file>

<file path=xl/sharedStrings.xml><?xml version="1.0" encoding="utf-8"?>
<sst xmlns="http://schemas.openxmlformats.org/spreadsheetml/2006/main" count="180" uniqueCount="127">
  <si>
    <r>
      <t>HéliceB</t>
    </r>
    <r>
      <rPr>
        <b/>
        <vertAlign val="superscript"/>
        <sz val="24"/>
        <rFont val="Symbol"/>
        <family val="1"/>
        <charset val="2"/>
      </rPr>
      <t>Ó</t>
    </r>
  </si>
  <si>
    <r>
      <t xml:space="preserve">  Curvas de Desempenho - K</t>
    </r>
    <r>
      <rPr>
        <b/>
        <vertAlign val="subscript"/>
        <sz val="12"/>
        <rFont val="Calibri Light"/>
        <family val="2"/>
      </rPr>
      <t>T</t>
    </r>
    <r>
      <rPr>
        <b/>
        <sz val="12"/>
        <rFont val="Calibri Light"/>
        <family val="2"/>
      </rPr>
      <t>, K</t>
    </r>
    <r>
      <rPr>
        <b/>
        <vertAlign val="subscript"/>
        <sz val="12"/>
        <rFont val="Calibri Light"/>
        <family val="2"/>
      </rPr>
      <t>Q</t>
    </r>
    <r>
      <rPr>
        <b/>
        <sz val="12"/>
        <rFont val="Calibri Light"/>
        <family val="2"/>
      </rPr>
      <t xml:space="preserve"> x J : Hélices Série B (Wageningen)</t>
    </r>
  </si>
  <si>
    <t>Dados do Propulsor</t>
  </si>
  <si>
    <t>Dados Operacionais</t>
  </si>
  <si>
    <t>Coeficientes Propulsivos</t>
  </si>
  <si>
    <t>Sobre ...</t>
  </si>
  <si>
    <t>. Número de Pás (z):</t>
  </si>
  <si>
    <t>---</t>
  </si>
  <si>
    <t>. Velocidade de Serviço (Vs):</t>
  </si>
  <si>
    <t>nós</t>
  </si>
  <si>
    <t>. Coef. de Esteira (w):</t>
  </si>
  <si>
    <t>Esta planilha foi desenvolvida como material de apoio para a</t>
  </si>
  <si>
    <t>. Diâmetro (D):</t>
  </si>
  <si>
    <t>m</t>
  </si>
  <si>
    <t>m/s</t>
  </si>
  <si>
    <r>
      <t>. Efic. Rotativa Relativa (</t>
    </r>
    <r>
      <rPr>
        <sz val="10"/>
        <rFont val="Symbol"/>
        <family val="1"/>
        <charset val="2"/>
      </rPr>
      <t>h</t>
    </r>
    <r>
      <rPr>
        <vertAlign val="subscript"/>
        <sz val="10"/>
        <rFont val="Calibri"/>
        <family val="2"/>
        <scheme val="minor"/>
      </rPr>
      <t>rr</t>
    </r>
    <r>
      <rPr>
        <sz val="10"/>
        <rFont val="Calibri"/>
        <family val="2"/>
        <scheme val="minor"/>
      </rPr>
      <t>):</t>
    </r>
  </si>
  <si>
    <r>
      <t xml:space="preserve">disciplina </t>
    </r>
    <r>
      <rPr>
        <b/>
        <sz val="10"/>
        <rFont val="Calibri"/>
        <family val="2"/>
        <scheme val="minor"/>
      </rPr>
      <t>ENN554 - Projeto de Sistemas de Máquinas</t>
    </r>
    <r>
      <rPr>
        <sz val="10"/>
        <rFont val="Calibri"/>
        <family val="2"/>
        <scheme val="minor"/>
      </rPr>
      <t>.</t>
    </r>
  </si>
  <si>
    <t>. Rotação (N):</t>
  </si>
  <si>
    <t>rpm</t>
  </si>
  <si>
    <t>. Razão de Passo (P/D):</t>
  </si>
  <si>
    <r>
      <t>. Calado na PR (T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>):</t>
    </r>
  </si>
  <si>
    <r>
      <t xml:space="preserve">Copyright </t>
    </r>
    <r>
      <rPr>
        <sz val="10"/>
        <color theme="1" tint="0.14999847407452621"/>
        <rFont val="Symbol"/>
        <family val="1"/>
        <charset val="2"/>
      </rPr>
      <t>ã</t>
    </r>
    <r>
      <rPr>
        <sz val="10"/>
        <color theme="1" tint="0.14999847407452621"/>
        <rFont val="Calibri"/>
        <family val="2"/>
        <scheme val="minor"/>
      </rPr>
      <t xml:space="preserve"> 2021 UFRJ / POLI-DENO</t>
    </r>
    <r>
      <rPr>
        <sz val="10"/>
        <rFont val="Calibri"/>
        <family val="2"/>
        <scheme val="minor"/>
      </rPr>
      <t xml:space="preserve">  </t>
    </r>
    <r>
      <rPr>
        <sz val="10"/>
        <rFont val="Calibri"/>
        <family val="2"/>
      </rPr>
      <t xml:space="preserve">│  </t>
    </r>
    <r>
      <rPr>
        <sz val="10"/>
        <rFont val="Calibri"/>
        <family val="2"/>
        <scheme val="minor"/>
      </rPr>
      <t xml:space="preserve">Versão </t>
    </r>
  </si>
  <si>
    <t>2021.01</t>
  </si>
  <si>
    <t>. Razão de Áreas (Ae/Ao):</t>
  </si>
  <si>
    <t>. Profundidade do Eixo:</t>
  </si>
  <si>
    <t>. Limite de Cavitação:</t>
  </si>
  <si>
    <t>Curvas de Desempenho</t>
  </si>
  <si>
    <r>
      <t>Ponto de Operação (</t>
    </r>
    <r>
      <rPr>
        <b/>
        <sz val="12"/>
        <color rgb="FF0066FF"/>
        <rFont val="Calibri Light"/>
        <family val="2"/>
      </rPr>
      <t>O</t>
    </r>
    <r>
      <rPr>
        <b/>
        <sz val="12"/>
        <rFont val="Calibri Light"/>
        <family val="2"/>
      </rPr>
      <t>):</t>
    </r>
  </si>
  <si>
    <t>J</t>
  </si>
  <si>
    <r>
      <t>K</t>
    </r>
    <r>
      <rPr>
        <b/>
        <vertAlign val="subscript"/>
        <sz val="10"/>
        <rFont val="Calibri"/>
        <family val="2"/>
        <scheme val="minor"/>
      </rPr>
      <t>T</t>
    </r>
  </si>
  <si>
    <r>
      <t>10 K</t>
    </r>
    <r>
      <rPr>
        <b/>
        <vertAlign val="subscript"/>
        <sz val="10"/>
        <rFont val="Calibri"/>
        <family val="2"/>
        <scheme val="minor"/>
      </rPr>
      <t>Q</t>
    </r>
  </si>
  <si>
    <r>
      <rPr>
        <b/>
        <sz val="10"/>
        <rFont val="Symbol"/>
        <family val="1"/>
        <charset val="2"/>
      </rPr>
      <t>h</t>
    </r>
    <r>
      <rPr>
        <b/>
        <vertAlign val="subscript"/>
        <sz val="10"/>
        <rFont val="Calibri"/>
        <family val="2"/>
        <scheme val="minor"/>
      </rPr>
      <t>o</t>
    </r>
  </si>
  <si>
    <r>
      <t>. Coef. Avanço (J</t>
    </r>
    <r>
      <rPr>
        <vertAlign val="subscript"/>
        <sz val="10"/>
        <rFont val="Calibri"/>
        <family val="2"/>
        <scheme val="minor"/>
      </rPr>
      <t>o</t>
    </r>
    <r>
      <rPr>
        <sz val="10"/>
        <rFont val="Calibri"/>
        <family val="2"/>
        <scheme val="minor"/>
      </rPr>
      <t>):</t>
    </r>
  </si>
  <si>
    <t>. Velocidade de  Avanço (Va):</t>
  </si>
  <si>
    <r>
      <t>. Coef. Empuxo (K</t>
    </r>
    <r>
      <rPr>
        <vertAlign val="subscript"/>
        <sz val="10"/>
        <rFont val="Calibri"/>
        <family val="2"/>
        <scheme val="minor"/>
      </rPr>
      <t>To</t>
    </r>
    <r>
      <rPr>
        <sz val="10"/>
        <rFont val="Calibri"/>
        <family val="2"/>
        <scheme val="minor"/>
      </rPr>
      <t>):</t>
    </r>
  </si>
  <si>
    <r>
      <t>. Empuxo (T</t>
    </r>
    <r>
      <rPr>
        <vertAlign val="subscript"/>
        <sz val="10"/>
        <rFont val="Calibri"/>
        <family val="2"/>
        <scheme val="minor"/>
      </rPr>
      <t>o</t>
    </r>
    <r>
      <rPr>
        <sz val="10"/>
        <rFont val="Calibri"/>
        <family val="2"/>
        <scheme val="minor"/>
      </rPr>
      <t>):</t>
    </r>
  </si>
  <si>
    <t>&gt; 1200</t>
  </si>
  <si>
    <t>kN</t>
  </si>
  <si>
    <r>
      <t>. Coef. Torque (K</t>
    </r>
    <r>
      <rPr>
        <vertAlign val="subscript"/>
        <sz val="10"/>
        <rFont val="Calibri"/>
        <family val="2"/>
        <scheme val="minor"/>
      </rPr>
      <t>Qo</t>
    </r>
    <r>
      <rPr>
        <sz val="10"/>
        <rFont val="Calibri"/>
        <family val="2"/>
        <scheme val="minor"/>
      </rPr>
      <t>):</t>
    </r>
  </si>
  <si>
    <r>
      <t>. Torque (</t>
    </r>
    <r>
      <rPr>
        <vertAlign val="subscript"/>
        <sz val="10"/>
        <rFont val="Calibri"/>
        <family val="2"/>
        <scheme val="minor"/>
      </rPr>
      <t>Qo</t>
    </r>
    <r>
      <rPr>
        <sz val="10"/>
        <rFont val="Calibri"/>
        <family val="2"/>
        <scheme val="minor"/>
      </rPr>
      <t>):</t>
    </r>
  </si>
  <si>
    <t>kN.m</t>
  </si>
  <si>
    <r>
      <t>. Eficiência (</t>
    </r>
    <r>
      <rPr>
        <sz val="10"/>
        <rFont val="Symbol"/>
        <family val="1"/>
        <charset val="2"/>
      </rPr>
      <t>h</t>
    </r>
    <r>
      <rPr>
        <vertAlign val="subscript"/>
        <sz val="10"/>
        <rFont val="Calibri"/>
        <family val="2"/>
        <scheme val="minor"/>
      </rPr>
      <t>o</t>
    </r>
    <r>
      <rPr>
        <sz val="10"/>
        <rFont val="Calibri"/>
        <family val="2"/>
        <scheme val="minor"/>
      </rPr>
      <t xml:space="preserve"> x </t>
    </r>
    <r>
      <rPr>
        <sz val="10"/>
        <rFont val="Symbol"/>
        <family val="1"/>
        <charset val="2"/>
      </rPr>
      <t>h</t>
    </r>
    <r>
      <rPr>
        <vertAlign val="subscript"/>
        <sz val="10"/>
        <rFont val="Calibri"/>
        <family val="2"/>
        <scheme val="minor"/>
      </rPr>
      <t>rr</t>
    </r>
    <r>
      <rPr>
        <sz val="10"/>
        <rFont val="Calibri"/>
        <family val="2"/>
        <scheme val="minor"/>
      </rPr>
      <t>):</t>
    </r>
  </si>
  <si>
    <t>. Potência (DHP):</t>
  </si>
  <si>
    <t>kW</t>
  </si>
  <si>
    <t>. Cavitação:</t>
  </si>
  <si>
    <t>Polinômios de Regressão - Série B (Wageningen)</t>
  </si>
  <si>
    <t xml:space="preserve"> Característcas do Hélice</t>
  </si>
  <si>
    <t>D:</t>
  </si>
  <si>
    <t>z:</t>
  </si>
  <si>
    <t>N:</t>
  </si>
  <si>
    <t>P/D:</t>
  </si>
  <si>
    <t>n:</t>
  </si>
  <si>
    <t>1/s</t>
  </si>
  <si>
    <t>Ae/Ao:</t>
  </si>
  <si>
    <r>
      <t xml:space="preserve"> Coeficientes de Empuxo (K</t>
    </r>
    <r>
      <rPr>
        <b/>
        <vertAlign val="subscript"/>
        <sz val="9"/>
        <color indexed="9"/>
        <rFont val="Arial"/>
        <family val="2"/>
      </rPr>
      <t>T</t>
    </r>
    <r>
      <rPr>
        <b/>
        <sz val="9"/>
        <color indexed="9"/>
        <rFont val="Arial"/>
        <family val="2"/>
      </rPr>
      <t>) e Torque (K</t>
    </r>
    <r>
      <rPr>
        <b/>
        <vertAlign val="subscript"/>
        <sz val="9"/>
        <color indexed="9"/>
        <rFont val="Arial"/>
        <family val="2"/>
      </rPr>
      <t>Q</t>
    </r>
    <r>
      <rPr>
        <b/>
        <sz val="9"/>
        <color indexed="9"/>
        <rFont val="Arial"/>
        <family val="2"/>
      </rPr>
      <t>)</t>
    </r>
  </si>
  <si>
    <r>
      <t>K</t>
    </r>
    <r>
      <rPr>
        <vertAlign val="subscript"/>
        <sz val="9"/>
        <rFont val="Arial"/>
        <family val="2"/>
      </rPr>
      <t>T</t>
    </r>
    <r>
      <rPr>
        <sz val="9"/>
        <rFont val="Arial"/>
        <family val="2"/>
      </rPr>
      <t xml:space="preserve"> :</t>
    </r>
  </si>
  <si>
    <t>T :</t>
  </si>
  <si>
    <r>
      <t>K</t>
    </r>
    <r>
      <rPr>
        <vertAlign val="subscript"/>
        <sz val="9"/>
        <rFont val="Arial"/>
        <family val="2"/>
      </rPr>
      <t>Q</t>
    </r>
    <r>
      <rPr>
        <sz val="9"/>
        <rFont val="Arial"/>
        <family val="2"/>
      </rPr>
      <t xml:space="preserve"> :</t>
    </r>
  </si>
  <si>
    <t>Q :</t>
  </si>
  <si>
    <r>
      <t>h</t>
    </r>
    <r>
      <rPr>
        <vertAlign val="subscript"/>
        <sz val="9"/>
        <rFont val="Arial"/>
        <family val="2"/>
      </rPr>
      <t>0</t>
    </r>
    <r>
      <rPr>
        <sz val="9"/>
        <rFont val="Arial"/>
        <family val="2"/>
      </rPr>
      <t xml:space="preserve"> x h</t>
    </r>
    <r>
      <rPr>
        <vertAlign val="subscript"/>
        <sz val="9"/>
        <rFont val="Arial"/>
        <family val="2"/>
      </rPr>
      <t>rr</t>
    </r>
    <r>
      <rPr>
        <sz val="9"/>
        <rFont val="Arial"/>
        <family val="2"/>
      </rPr>
      <t>:</t>
    </r>
  </si>
  <si>
    <t>DHP :</t>
  </si>
  <si>
    <t xml:space="preserve"> Coeficientes de Cálculo</t>
  </si>
  <si>
    <r>
      <t>V</t>
    </r>
    <r>
      <rPr>
        <vertAlign val="subscript"/>
        <sz val="9"/>
        <rFont val="Arial"/>
        <family val="2"/>
      </rPr>
      <t>A</t>
    </r>
    <r>
      <rPr>
        <sz val="9"/>
        <rFont val="Arial"/>
        <family val="2"/>
      </rPr>
      <t>:</t>
    </r>
  </si>
  <si>
    <r>
      <t>Rn</t>
    </r>
    <r>
      <rPr>
        <vertAlign val="subscript"/>
        <sz val="9"/>
        <rFont val="Arial"/>
        <family val="2"/>
      </rPr>
      <t>0.75R</t>
    </r>
    <r>
      <rPr>
        <sz val="9"/>
        <rFont val="Arial"/>
        <family val="2"/>
      </rPr>
      <t>:</t>
    </r>
  </si>
  <si>
    <r>
      <t>C</t>
    </r>
    <r>
      <rPr>
        <vertAlign val="subscript"/>
        <sz val="9"/>
        <rFont val="Arial"/>
        <family val="2"/>
      </rPr>
      <t>0.75R</t>
    </r>
    <r>
      <rPr>
        <sz val="9"/>
        <rFont val="Arial"/>
        <family val="2"/>
      </rPr>
      <t>:</t>
    </r>
  </si>
  <si>
    <t>J:</t>
  </si>
  <si>
    <r>
      <t>t/c</t>
    </r>
    <r>
      <rPr>
        <vertAlign val="subscript"/>
        <sz val="9"/>
        <rFont val="Arial"/>
        <family val="2"/>
      </rPr>
      <t>0.75r</t>
    </r>
    <r>
      <rPr>
        <sz val="9"/>
        <rFont val="Arial"/>
        <family val="2"/>
      </rPr>
      <t>:</t>
    </r>
  </si>
  <si>
    <r>
      <t>K</t>
    </r>
    <r>
      <rPr>
        <vertAlign val="subscript"/>
        <sz val="9"/>
        <rFont val="Arial"/>
        <family val="2"/>
      </rPr>
      <t>T0</t>
    </r>
    <r>
      <rPr>
        <sz val="9"/>
        <rFont val="Arial"/>
        <family val="2"/>
      </rPr>
      <t xml:space="preserve"> :</t>
    </r>
  </si>
  <si>
    <r>
      <t>K</t>
    </r>
    <r>
      <rPr>
        <vertAlign val="subscript"/>
        <sz val="9"/>
        <rFont val="Arial"/>
        <family val="2"/>
      </rPr>
      <t>Q0</t>
    </r>
    <r>
      <rPr>
        <sz val="9"/>
        <rFont val="Arial"/>
        <family val="2"/>
      </rPr>
      <t xml:space="preserve"> :</t>
    </r>
  </si>
  <si>
    <r>
      <t>D</t>
    </r>
    <r>
      <rPr>
        <sz val="9"/>
        <rFont val="Arial"/>
        <family val="2"/>
      </rPr>
      <t>K</t>
    </r>
    <r>
      <rPr>
        <vertAlign val="subscript"/>
        <sz val="9"/>
        <rFont val="Arial"/>
        <family val="2"/>
      </rPr>
      <t>T0</t>
    </r>
    <r>
      <rPr>
        <sz val="9"/>
        <rFont val="Arial"/>
        <family val="2"/>
      </rPr>
      <t xml:space="preserve"> :</t>
    </r>
  </si>
  <si>
    <r>
      <t>D</t>
    </r>
    <r>
      <rPr>
        <sz val="9"/>
        <rFont val="Arial"/>
        <family val="2"/>
      </rPr>
      <t>K</t>
    </r>
    <r>
      <rPr>
        <vertAlign val="subscript"/>
        <sz val="9"/>
        <rFont val="Arial"/>
        <family val="2"/>
      </rPr>
      <t>Q0</t>
    </r>
    <r>
      <rPr>
        <sz val="9"/>
        <rFont val="Arial"/>
        <family val="2"/>
      </rPr>
      <t xml:space="preserve"> :</t>
    </r>
  </si>
  <si>
    <r>
      <t>. Determinação dos Coeficientes de Empuxo (K</t>
    </r>
    <r>
      <rPr>
        <b/>
        <vertAlign val="subscript"/>
        <sz val="9"/>
        <rFont val="Arial"/>
        <family val="2"/>
      </rPr>
      <t>T0</t>
    </r>
    <r>
      <rPr>
        <b/>
        <sz val="9"/>
        <rFont val="Arial"/>
        <family val="2"/>
      </rPr>
      <t>) e Torque (K</t>
    </r>
    <r>
      <rPr>
        <b/>
        <vertAlign val="subscript"/>
        <sz val="9"/>
        <rFont val="Arial"/>
        <family val="2"/>
      </rPr>
      <t>Q0</t>
    </r>
    <r>
      <rPr>
        <b/>
        <sz val="9"/>
        <rFont val="Arial"/>
        <family val="2"/>
      </rPr>
      <t>)</t>
    </r>
  </si>
  <si>
    <r>
      <t xml:space="preserve"> 1. Coeficiente de Empuxo - K</t>
    </r>
    <r>
      <rPr>
        <b/>
        <vertAlign val="subscript"/>
        <sz val="9"/>
        <color indexed="9"/>
        <rFont val="Arial"/>
        <family val="2"/>
      </rPr>
      <t>T0</t>
    </r>
  </si>
  <si>
    <r>
      <t>K</t>
    </r>
    <r>
      <rPr>
        <b/>
        <vertAlign val="subscript"/>
        <sz val="9"/>
        <rFont val="Arial"/>
        <family val="2"/>
      </rPr>
      <t>T0</t>
    </r>
    <r>
      <rPr>
        <b/>
        <sz val="9"/>
        <rFont val="Arial"/>
        <family val="2"/>
      </rPr>
      <t xml:space="preserve"> =</t>
    </r>
  </si>
  <si>
    <r>
      <t xml:space="preserve"> 2. Coeficiente de Torque - K</t>
    </r>
    <r>
      <rPr>
        <b/>
        <vertAlign val="subscript"/>
        <sz val="9"/>
        <color indexed="9"/>
        <rFont val="Arial"/>
        <family val="2"/>
      </rPr>
      <t>Q0</t>
    </r>
  </si>
  <si>
    <r>
      <t>K</t>
    </r>
    <r>
      <rPr>
        <b/>
        <vertAlign val="subscript"/>
        <sz val="9"/>
        <rFont val="Arial"/>
        <family val="2"/>
      </rPr>
      <t>Q0</t>
    </r>
    <r>
      <rPr>
        <b/>
        <sz val="9"/>
        <rFont val="Arial"/>
        <family val="2"/>
      </rPr>
      <t xml:space="preserve"> =</t>
    </r>
  </si>
  <si>
    <r>
      <t xml:space="preserve">. Determinação das Correções </t>
    </r>
    <r>
      <rPr>
        <b/>
        <sz val="9"/>
        <rFont val="Symbol"/>
        <family val="1"/>
        <charset val="2"/>
      </rPr>
      <t>D</t>
    </r>
    <r>
      <rPr>
        <b/>
        <sz val="9"/>
        <rFont val="Arial"/>
        <family val="2"/>
      </rPr>
      <t>K</t>
    </r>
    <r>
      <rPr>
        <b/>
        <vertAlign val="subscript"/>
        <sz val="9"/>
        <rFont val="Arial"/>
        <family val="2"/>
      </rPr>
      <t>T0</t>
    </r>
    <r>
      <rPr>
        <b/>
        <sz val="9"/>
        <rFont val="Arial"/>
        <family val="2"/>
      </rPr>
      <t xml:space="preserve"> e</t>
    </r>
    <r>
      <rPr>
        <b/>
        <sz val="9"/>
        <rFont val="MS Sans Serif"/>
        <family val="2"/>
      </rPr>
      <t xml:space="preserve"> </t>
    </r>
    <r>
      <rPr>
        <b/>
        <sz val="9"/>
        <rFont val="Symbol"/>
        <family val="1"/>
        <charset val="2"/>
      </rPr>
      <t>D</t>
    </r>
    <r>
      <rPr>
        <b/>
        <sz val="9"/>
        <rFont val="Arial"/>
        <family val="2"/>
      </rPr>
      <t>K</t>
    </r>
    <r>
      <rPr>
        <b/>
        <vertAlign val="subscript"/>
        <sz val="9"/>
        <rFont val="Arial"/>
        <family val="2"/>
      </rPr>
      <t>Q0</t>
    </r>
  </si>
  <si>
    <r>
      <t xml:space="preserve"> 1. Correção </t>
    </r>
    <r>
      <rPr>
        <b/>
        <sz val="9"/>
        <color indexed="9"/>
        <rFont val="Symbol"/>
        <family val="1"/>
        <charset val="2"/>
      </rPr>
      <t>D</t>
    </r>
    <r>
      <rPr>
        <b/>
        <sz val="9"/>
        <color indexed="9"/>
        <rFont val="MS Sans Serif"/>
        <family val="2"/>
      </rPr>
      <t>K</t>
    </r>
    <r>
      <rPr>
        <b/>
        <vertAlign val="subscript"/>
        <sz val="9"/>
        <color indexed="9"/>
        <rFont val="MS Sans Serif"/>
        <family val="2"/>
      </rPr>
      <t>T0</t>
    </r>
  </si>
  <si>
    <t>Log (Rn)</t>
  </si>
  <si>
    <t>z</t>
  </si>
  <si>
    <t>Ae/Ao</t>
  </si>
  <si>
    <t>P/D</t>
  </si>
  <si>
    <r>
      <t>D</t>
    </r>
    <r>
      <rPr>
        <b/>
        <sz val="9"/>
        <rFont val="Arial"/>
        <family val="2"/>
      </rPr>
      <t>K</t>
    </r>
    <r>
      <rPr>
        <b/>
        <vertAlign val="subscript"/>
        <sz val="9"/>
        <rFont val="Arial"/>
        <family val="2"/>
      </rPr>
      <t>T0</t>
    </r>
    <r>
      <rPr>
        <b/>
        <sz val="9"/>
        <rFont val="Arial"/>
        <family val="2"/>
      </rPr>
      <t xml:space="preserve"> =</t>
    </r>
  </si>
  <si>
    <r>
      <t xml:space="preserve"> 2. Correção </t>
    </r>
    <r>
      <rPr>
        <b/>
        <sz val="9"/>
        <color indexed="9"/>
        <rFont val="Symbol"/>
        <family val="1"/>
        <charset val="2"/>
      </rPr>
      <t>D</t>
    </r>
    <r>
      <rPr>
        <b/>
        <sz val="9"/>
        <color indexed="9"/>
        <rFont val="Arial"/>
        <family val="2"/>
      </rPr>
      <t>K</t>
    </r>
    <r>
      <rPr>
        <b/>
        <vertAlign val="subscript"/>
        <sz val="9"/>
        <color indexed="9"/>
        <rFont val="Arial"/>
        <family val="2"/>
      </rPr>
      <t>Q0</t>
    </r>
  </si>
  <si>
    <t>LogRn</t>
  </si>
  <si>
    <r>
      <t>D</t>
    </r>
    <r>
      <rPr>
        <b/>
        <sz val="9"/>
        <rFont val="Arial"/>
        <family val="2"/>
      </rPr>
      <t>K</t>
    </r>
    <r>
      <rPr>
        <b/>
        <vertAlign val="subscript"/>
        <sz val="9"/>
        <rFont val="Arial"/>
        <family val="2"/>
      </rPr>
      <t>Q0</t>
    </r>
    <r>
      <rPr>
        <b/>
        <sz val="9"/>
        <rFont val="Arial"/>
        <family val="2"/>
      </rPr>
      <t xml:space="preserve"> =</t>
    </r>
  </si>
  <si>
    <t>Análise do Risco de Cavitação - (Método de Burrill)</t>
  </si>
  <si>
    <t xml:space="preserve"> Coeficientes</t>
  </si>
  <si>
    <r>
      <t>V</t>
    </r>
    <r>
      <rPr>
        <vertAlign val="subscript"/>
        <sz val="9"/>
        <rFont val="Arial"/>
        <family val="2"/>
      </rPr>
      <t>0.7R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:</t>
    </r>
  </si>
  <si>
    <r>
      <t>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/s</t>
    </r>
    <r>
      <rPr>
        <vertAlign val="superscript"/>
        <sz val="9"/>
        <rFont val="Arial"/>
        <family val="2"/>
      </rPr>
      <t>2</t>
    </r>
  </si>
  <si>
    <r>
      <t>P</t>
    </r>
    <r>
      <rPr>
        <vertAlign val="subscript"/>
        <sz val="9"/>
        <rFont val="Arial"/>
        <family val="2"/>
      </rPr>
      <t>Dinâmica</t>
    </r>
    <r>
      <rPr>
        <sz val="9"/>
        <rFont val="Arial"/>
        <family val="2"/>
      </rPr>
      <t>:</t>
    </r>
  </si>
  <si>
    <t>Pa</t>
  </si>
  <si>
    <t>Ae:</t>
  </si>
  <si>
    <r>
      <t>m</t>
    </r>
    <r>
      <rPr>
        <vertAlign val="superscript"/>
        <sz val="9"/>
        <rFont val="Arial"/>
        <family val="2"/>
      </rPr>
      <t>2</t>
    </r>
  </si>
  <si>
    <r>
      <t>P</t>
    </r>
    <r>
      <rPr>
        <vertAlign val="subscript"/>
        <sz val="9"/>
        <rFont val="Arial"/>
        <family val="2"/>
      </rPr>
      <t>Estática</t>
    </r>
    <r>
      <rPr>
        <sz val="9"/>
        <rFont val="Arial"/>
        <family val="2"/>
      </rPr>
      <t>:</t>
    </r>
  </si>
  <si>
    <t>Ap:</t>
  </si>
  <si>
    <r>
      <t>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 xml:space="preserve"> (Ad </t>
    </r>
    <r>
      <rPr>
        <sz val="9"/>
        <rFont val="Symbol"/>
        <family val="1"/>
        <charset val="2"/>
      </rPr>
      <t>@</t>
    </r>
    <r>
      <rPr>
        <sz val="9"/>
        <rFont val="Arial"/>
        <family val="2"/>
      </rPr>
      <t xml:space="preserve"> Ae)</t>
    </r>
  </si>
  <si>
    <r>
      <t>s</t>
    </r>
    <r>
      <rPr>
        <vertAlign val="subscript"/>
        <sz val="9"/>
        <rFont val="Arial"/>
        <family val="2"/>
      </rPr>
      <t>0.7R</t>
    </r>
    <r>
      <rPr>
        <sz val="9"/>
        <rFont val="Arial"/>
        <family val="2"/>
      </rPr>
      <t>:</t>
    </r>
  </si>
  <si>
    <r>
      <t>t</t>
    </r>
    <r>
      <rPr>
        <vertAlign val="subscript"/>
        <sz val="9"/>
        <rFont val="Arial"/>
        <family val="2"/>
      </rPr>
      <t>c</t>
    </r>
    <r>
      <rPr>
        <sz val="9"/>
        <rFont val="Arial"/>
        <family val="2"/>
      </rPr>
      <t>:</t>
    </r>
  </si>
  <si>
    <r>
      <t>t</t>
    </r>
    <r>
      <rPr>
        <vertAlign val="subscript"/>
        <sz val="9"/>
        <rFont val="Arial"/>
        <family val="2"/>
      </rPr>
      <t>c,máx</t>
    </r>
    <r>
      <rPr>
        <sz val="9"/>
        <rFont val="Arial"/>
        <family val="2"/>
      </rPr>
      <t>:</t>
    </r>
  </si>
  <si>
    <r>
      <t>Dt</t>
    </r>
    <r>
      <rPr>
        <vertAlign val="subscript"/>
        <sz val="9"/>
        <rFont val="Arial"/>
        <family val="2"/>
      </rPr>
      <t>c</t>
    </r>
    <r>
      <rPr>
        <sz val="9"/>
        <rFont val="Arial"/>
        <family val="2"/>
      </rPr>
      <t>:</t>
    </r>
  </si>
  <si>
    <t xml:space="preserve"> Diagrama de Burril</t>
  </si>
  <si>
    <t>Constante:</t>
  </si>
  <si>
    <t>Valores Medidos</t>
  </si>
  <si>
    <t xml:space="preserve"> Valores Calculados</t>
  </si>
  <si>
    <r>
      <t>s</t>
    </r>
    <r>
      <rPr>
        <vertAlign val="subscript"/>
        <sz val="9"/>
        <rFont val="Arial"/>
        <family val="2"/>
      </rPr>
      <t>0.7R</t>
    </r>
  </si>
  <si>
    <t>Propriedades da Água Doce e Constantes</t>
  </si>
  <si>
    <t>Valor Adotado</t>
  </si>
  <si>
    <t>Valor Padrão (15 °C)</t>
  </si>
  <si>
    <t>. Massa Específica da Água</t>
  </si>
  <si>
    <t>kg/m³</t>
  </si>
  <si>
    <t>. Visc. Cinemática da Água</t>
  </si>
  <si>
    <t>m²/s</t>
  </si>
  <si>
    <t>. Visc. Dinâmica da Água</t>
  </si>
  <si>
    <t>N.s/m²</t>
  </si>
  <si>
    <t>. Pressão Atmosférica</t>
  </si>
  <si>
    <t>. Pressão de Saturação da Água</t>
  </si>
  <si>
    <t>. Aceleração da Gravidade</t>
  </si>
  <si>
    <t>m/s²</t>
  </si>
  <si>
    <t>Referências</t>
  </si>
  <si>
    <r>
      <rPr>
        <b/>
        <sz val="36"/>
        <color theme="1" tint="0.14999847407452621"/>
        <rFont val="Times New Roman"/>
        <family val="1"/>
      </rPr>
      <t>Estima</t>
    </r>
    <r>
      <rPr>
        <b/>
        <vertAlign val="superscript"/>
        <sz val="24"/>
        <color theme="1" tint="0.14996795556505021"/>
        <rFont val="Symbol"/>
        <family val="1"/>
        <charset val="2"/>
      </rPr>
      <t>ã</t>
    </r>
  </si>
  <si>
    <r>
      <t xml:space="preserve">Copyright </t>
    </r>
    <r>
      <rPr>
        <b/>
        <sz val="11"/>
        <color theme="1" tint="0.14999847407452621"/>
        <rFont val="Symbol"/>
        <family val="1"/>
        <charset val="2"/>
      </rPr>
      <t>ã</t>
    </r>
    <r>
      <rPr>
        <b/>
        <sz val="11"/>
        <color theme="1" tint="0.14999847407452621"/>
        <rFont val="Calibri"/>
        <family val="2"/>
        <scheme val="minor"/>
      </rPr>
      <t xml:space="preserve"> 2021 UFRJ / POLI-DENO</t>
    </r>
    <r>
      <rPr>
        <b/>
        <sz val="11"/>
        <rFont val="Calibri"/>
        <family val="2"/>
        <scheme val="minor"/>
      </rPr>
      <t xml:space="preserve">  </t>
    </r>
    <r>
      <rPr>
        <b/>
        <sz val="11"/>
        <rFont val="Calibri"/>
        <family val="2"/>
      </rPr>
      <t xml:space="preserve">│  </t>
    </r>
    <r>
      <rPr>
        <b/>
        <sz val="11"/>
        <rFont val="Calibri"/>
        <family val="2"/>
        <scheme val="minor"/>
      </rPr>
      <t>Versão</t>
    </r>
  </si>
  <si>
    <r>
      <t xml:space="preserve">1. Lewis, E. V., editor (1998). </t>
    </r>
    <r>
      <rPr>
        <i/>
        <sz val="10"/>
        <rFont val="Calibri"/>
        <family val="2"/>
        <scheme val="minor"/>
      </rPr>
      <t>Principles of Naval Architecture -Volume II: Resistance, Propulsion and Vibration</t>
    </r>
    <r>
      <rPr>
        <sz val="10"/>
        <rFont val="Calibri"/>
        <family val="2"/>
        <scheme val="minor"/>
      </rPr>
      <t xml:space="preserve"> (2</t>
    </r>
    <r>
      <rPr>
        <vertAlign val="superscript"/>
        <sz val="10"/>
        <rFont val="Calibri"/>
        <family val="2"/>
        <scheme val="minor"/>
      </rPr>
      <t>nd</t>
    </r>
    <r>
      <rPr>
        <sz val="10"/>
        <rFont val="Calibri"/>
        <family val="2"/>
        <scheme val="minor"/>
      </rPr>
      <t xml:space="preserve"> rev.). Jersey City (USA): The Society</t>
    </r>
  </si>
  <si>
    <t>of Naval Architects and Marine Engineers (SNAME). ISBN 0 939 77301 5.</t>
  </si>
  <si>
    <r>
      <t xml:space="preserve">2. Harvald, SV. AA. (1983). </t>
    </r>
    <r>
      <rPr>
        <i/>
        <sz val="10"/>
        <rFont val="Calibri"/>
        <family val="2"/>
        <scheme val="minor"/>
      </rPr>
      <t>Resistance and Propulsion of Ships</t>
    </r>
    <r>
      <rPr>
        <sz val="10"/>
        <rFont val="Calibri"/>
        <family val="2"/>
        <scheme val="minor"/>
      </rPr>
      <t>. Hoboken (USA): Wiley-Interscience Publication (John Wiley &amp; Sons). ISBN 0 471 06353 3.</t>
    </r>
  </si>
  <si>
    <r>
      <rPr>
        <sz val="10"/>
        <color rgb="FF000000"/>
        <rFont val="Calibri"/>
        <family val="2"/>
        <scheme val="minor"/>
      </rPr>
      <t xml:space="preserve">3. Oosterveld, M.W.C. and Van Oossanen, P. (1975). </t>
    </r>
    <r>
      <rPr>
        <i/>
        <sz val="10"/>
        <color rgb="FF000000"/>
        <rFont val="Calibri"/>
        <family val="2"/>
        <scheme val="minor"/>
      </rPr>
      <t>Further Computer-Analysed Data of the Wageningen B-Screw Series</t>
    </r>
    <r>
      <rPr>
        <sz val="10"/>
        <color rgb="FF000000"/>
        <rFont val="Calibri"/>
        <family val="2"/>
        <scheme val="minor"/>
      </rPr>
      <t>. International Shipbuilding</t>
    </r>
  </si>
  <si>
    <t>Progress, p. 251-262.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</si>
</sst>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164" formatCode="#,##0.0"/>
    <numFmt numFmtId="165" formatCode="#,##0.000"/>
    <numFmt numFmtId="166" formatCode="0.0"/>
    <numFmt numFmtId="167" formatCode="0.0000000"/>
    <numFmt numFmtId="168" formatCode="0.00000"/>
    <numFmt numFmtId="169" formatCode="0.0000"/>
    <numFmt numFmtId="170" formatCode="0.000E+00"/>
    <numFmt numFmtId="171" formatCode="0.000"/>
    <numFmt numFmtId="172" formatCode="0.000E+0"/>
    <numFmt numFmtId="173" formatCode="#,##0.00000"/>
    <numFmt numFmtId="174" formatCode="#,##0.000000000"/>
    <numFmt numFmtId="175" formatCode="0.0%"/>
    <numFmt numFmtId="176" formatCode="0.000000"/>
  </numFmts>
  <fonts count="66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name val="Symbol"/>
      <family val="1"/>
      <charset val="2"/>
    </font>
    <font>
      <b/>
      <sz val="9"/>
      <color indexed="9"/>
      <name val="Arial"/>
      <family val="2"/>
    </font>
    <font>
      <sz val="8"/>
      <name val="Arial"/>
      <family val="2"/>
    </font>
    <font>
      <b/>
      <sz val="9"/>
      <name val="Symbol"/>
      <family val="1"/>
      <charset val="2"/>
    </font>
    <font>
      <b/>
      <sz val="12"/>
      <color indexed="9"/>
      <name val="Arial"/>
      <family val="2"/>
    </font>
    <font>
      <b/>
      <sz val="36"/>
      <name val="Times New Roman"/>
      <family val="1"/>
    </font>
    <font>
      <b/>
      <sz val="9"/>
      <name val="MS Sans Serif"/>
      <family val="2"/>
    </font>
    <font>
      <sz val="9"/>
      <color indexed="12"/>
      <name val="MS Sans Serif"/>
      <family val="2"/>
    </font>
    <font>
      <sz val="9"/>
      <name val="MS Sans Serif"/>
      <family val="2"/>
    </font>
    <font>
      <b/>
      <sz val="9"/>
      <color indexed="9"/>
      <name val="Symbol"/>
      <family val="1"/>
      <charset val="2"/>
    </font>
    <font>
      <sz val="9"/>
      <color indexed="9"/>
      <name val="MS Sans Serif"/>
      <family val="2"/>
    </font>
    <font>
      <b/>
      <vertAlign val="superscript"/>
      <sz val="24"/>
      <name val="Symbol"/>
      <family val="1"/>
      <charset val="2"/>
    </font>
    <font>
      <sz val="10"/>
      <name val="MS Sans Serif"/>
      <family val="2"/>
    </font>
    <font>
      <sz val="8"/>
      <name val="MS Sans Serif"/>
      <family val="2"/>
    </font>
    <font>
      <b/>
      <sz val="9"/>
      <color indexed="9"/>
      <name val="MS Sans Serif"/>
      <family val="2"/>
    </font>
    <font>
      <b/>
      <vertAlign val="subscript"/>
      <sz val="9"/>
      <color indexed="9"/>
      <name val="MS Sans Serif"/>
      <family val="2"/>
    </font>
    <font>
      <b/>
      <sz val="10"/>
      <name val="MS Sans Serif"/>
      <family val="2"/>
    </font>
    <font>
      <b/>
      <sz val="10"/>
      <color indexed="10"/>
      <name val="MS Sans Serif"/>
      <family val="2"/>
    </font>
    <font>
      <sz val="10"/>
      <color indexed="9"/>
      <name val="Arial"/>
      <family val="2"/>
    </font>
    <font>
      <vertAlign val="subscript"/>
      <sz val="9"/>
      <name val="Arial"/>
      <family val="2"/>
    </font>
    <font>
      <vertAlign val="superscript"/>
      <sz val="9"/>
      <name val="Arial"/>
      <family val="2"/>
    </font>
    <font>
      <sz val="9"/>
      <color indexed="10"/>
      <name val="Arial"/>
      <family val="2"/>
    </font>
    <font>
      <b/>
      <sz val="9"/>
      <color indexed="10"/>
      <name val="Arial"/>
      <family val="2"/>
    </font>
    <font>
      <b/>
      <sz val="9"/>
      <name val="Arial"/>
      <family val="2"/>
    </font>
    <font>
      <b/>
      <vertAlign val="subscript"/>
      <sz val="9"/>
      <name val="Arial"/>
      <family val="2"/>
    </font>
    <font>
      <b/>
      <vertAlign val="subscript"/>
      <sz val="9"/>
      <color indexed="9"/>
      <name val="Arial"/>
      <family val="2"/>
    </font>
    <font>
      <sz val="9"/>
      <color indexed="9"/>
      <name val="Arial"/>
      <family val="2"/>
    </font>
    <font>
      <sz val="14"/>
      <name val="Arial"/>
      <family val="1"/>
      <charset val="2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b/>
      <vertAlign val="subscript"/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indexed="10"/>
      <name val="Calibri"/>
      <family val="2"/>
      <scheme val="minor"/>
    </font>
    <font>
      <b/>
      <sz val="10"/>
      <name val="Symbol"/>
      <family val="1"/>
      <charset val="2"/>
    </font>
    <font>
      <b/>
      <sz val="12"/>
      <color theme="1" tint="0.14999847407452621"/>
      <name val="Calibri Light"/>
      <family val="2"/>
    </font>
    <font>
      <sz val="10"/>
      <color theme="1" tint="0.14999847407452621"/>
      <name val="Symbol"/>
      <family val="1"/>
      <charset val="2"/>
    </font>
    <font>
      <sz val="10"/>
      <color theme="1" tint="0.14999847407452621"/>
      <name val="Calibri"/>
      <family val="2"/>
      <scheme val="minor"/>
    </font>
    <font>
      <sz val="10"/>
      <name val="Calibri"/>
      <family val="2"/>
    </font>
    <font>
      <b/>
      <sz val="12"/>
      <name val="Calibri Light"/>
      <family val="2"/>
    </font>
    <font>
      <sz val="10"/>
      <name val="Symbol"/>
      <family val="1"/>
      <charset val="2"/>
    </font>
    <font>
      <b/>
      <vertAlign val="subscript"/>
      <sz val="12"/>
      <name val="Calibri Light"/>
      <family val="2"/>
    </font>
    <font>
      <sz val="9"/>
      <color theme="0"/>
      <name val="MS Sans Serif"/>
      <family val="2"/>
    </font>
    <font>
      <b/>
      <sz val="10"/>
      <name val="Calibri"/>
      <family val="1"/>
      <charset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4"/>
      <color theme="1" tint="0.14999847407452621"/>
      <name val="Calibri Light"/>
      <family val="2"/>
    </font>
    <font>
      <b/>
      <sz val="10"/>
      <color theme="1" tint="0.14999847407452621"/>
      <name val="Calibri"/>
      <family val="1"/>
    </font>
    <font>
      <b/>
      <sz val="36"/>
      <color theme="1" tint="0.14999847407452621"/>
      <name val="Times New Roman"/>
      <family val="1"/>
    </font>
    <font>
      <b/>
      <vertAlign val="superscript"/>
      <sz val="24"/>
      <color theme="1" tint="0.14996795556505021"/>
      <name val="Symbol"/>
      <family val="1"/>
      <charset val="2"/>
    </font>
    <font>
      <b/>
      <sz val="11"/>
      <color theme="1" tint="0.14999847407452621"/>
      <name val="Calibri"/>
      <family val="2"/>
      <scheme val="minor"/>
    </font>
    <font>
      <b/>
      <sz val="11"/>
      <color theme="1" tint="0.14999847407452621"/>
      <name val="Symbol"/>
      <family val="1"/>
      <charset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i/>
      <sz val="10"/>
      <name val="Calibri"/>
      <family val="2"/>
      <scheme val="minor"/>
    </font>
    <font>
      <vertAlign val="superscript"/>
      <sz val="10"/>
      <name val="Calibri"/>
      <family val="2"/>
      <scheme val="minor"/>
    </font>
    <font>
      <b/>
      <sz val="12"/>
      <color rgb="FF0066FF"/>
      <name val="Calibri Light"/>
      <family val="2"/>
    </font>
    <font>
      <b/>
      <sz val="12"/>
      <color rgb="FFFF0000"/>
      <name val="Calibri Light"/>
      <family val="2"/>
    </font>
    <font>
      <sz val="10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/>
      <bottom style="thin">
        <color indexed="64"/>
      </bottom>
      <diagonal/>
    </border>
    <border>
      <left style="thin">
        <color indexed="63"/>
      </left>
      <right/>
      <top/>
      <bottom/>
      <diagonal/>
    </border>
    <border>
      <left/>
      <right/>
      <top/>
      <bottom style="thin">
        <color indexed="63"/>
      </bottom>
      <diagonal/>
    </border>
    <border>
      <left style="thin">
        <color indexed="63"/>
      </left>
      <right/>
      <top style="thin">
        <color indexed="63"/>
      </top>
      <bottom style="thin">
        <color indexed="63"/>
      </bottom>
      <diagonal/>
    </border>
    <border>
      <left/>
      <right/>
      <top style="thin">
        <color indexed="63"/>
      </top>
      <bottom style="thin">
        <color indexed="63"/>
      </bottom>
      <diagonal/>
    </border>
    <border>
      <left/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3"/>
      </right>
      <top style="thin">
        <color indexed="63"/>
      </top>
      <bottom/>
      <diagonal/>
    </border>
    <border>
      <left/>
      <right style="thin">
        <color indexed="63"/>
      </right>
      <top/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/>
      <bottom style="thin">
        <color indexed="63"/>
      </bottom>
      <diagonal/>
    </border>
    <border>
      <left/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/>
      <top/>
      <bottom style="thin">
        <color indexed="55"/>
      </bottom>
      <diagonal/>
    </border>
    <border>
      <left/>
      <right style="thin">
        <color indexed="63"/>
      </right>
      <top/>
      <bottom style="thin">
        <color indexed="55"/>
      </bottom>
      <diagonal/>
    </border>
    <border>
      <left style="thin">
        <color indexed="63"/>
      </left>
      <right/>
      <top style="thin">
        <color indexed="55"/>
      </top>
      <bottom/>
      <diagonal/>
    </border>
    <border>
      <left/>
      <right style="thin">
        <color indexed="63"/>
      </right>
      <top style="thin">
        <color indexed="55"/>
      </top>
      <bottom/>
      <diagonal/>
    </border>
    <border>
      <left/>
      <right/>
      <top style="thin">
        <color indexed="55"/>
      </top>
      <bottom style="thin">
        <color indexed="63"/>
      </bottom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/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/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/>
      <top style="medium">
        <color theme="1" tint="0.34998626667073579"/>
      </top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2" fillId="0" borderId="0"/>
  </cellStyleXfs>
  <cellXfs count="324">
    <xf numFmtId="0" fontId="0" fillId="0" borderId="0" xfId="0"/>
    <xf numFmtId="0" fontId="13" fillId="0" borderId="0" xfId="0" applyFont="1"/>
    <xf numFmtId="1" fontId="0" fillId="0" borderId="0" xfId="0" applyNumberFormat="1"/>
    <xf numFmtId="166" fontId="13" fillId="0" borderId="0" xfId="0" applyNumberFormat="1" applyFont="1" applyAlignment="1">
      <alignment horizontal="right" inden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4" fillId="0" borderId="4" xfId="0" applyFont="1" applyBorder="1" applyAlignment="1">
      <alignment vertical="center"/>
    </xf>
    <xf numFmtId="0" fontId="5" fillId="2" borderId="5" xfId="0" applyFont="1" applyFill="1" applyBorder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8" fillId="2" borderId="6" xfId="0" applyFont="1" applyFill="1" applyBorder="1" applyAlignment="1">
      <alignment horizontal="right" vertical="center"/>
    </xf>
    <xf numFmtId="171" fontId="15" fillId="0" borderId="0" xfId="0" applyNumberFormat="1" applyFont="1"/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9" fillId="4" borderId="7" xfId="0" applyFont="1" applyFill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168" fontId="17" fillId="0" borderId="0" xfId="0" applyNumberFormat="1" applyFont="1" applyAlignment="1">
      <alignment horizontal="center" vertical="center"/>
    </xf>
    <xf numFmtId="166" fontId="22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11" fillId="0" borderId="0" xfId="0" applyFont="1" applyAlignment="1">
      <alignment horizontal="right" vertical="center"/>
    </xf>
    <xf numFmtId="168" fontId="11" fillId="0" borderId="0" xfId="0" applyNumberFormat="1" applyFont="1" applyAlignment="1">
      <alignment horizontal="center" vertical="center"/>
    </xf>
    <xf numFmtId="0" fontId="15" fillId="4" borderId="8" xfId="0" applyFont="1" applyFill="1" applyBorder="1" applyAlignment="1">
      <alignment horizontal="center" vertical="center"/>
    </xf>
    <xf numFmtId="0" fontId="15" fillId="4" borderId="9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67" fontId="11" fillId="0" borderId="0" xfId="0" applyNumberFormat="1" applyFont="1" applyAlignment="1">
      <alignment horizontal="center" vertical="center"/>
    </xf>
    <xf numFmtId="0" fontId="15" fillId="4" borderId="0" xfId="0" applyFont="1" applyFill="1" applyAlignment="1">
      <alignment horizontal="left" vertical="center"/>
    </xf>
    <xf numFmtId="0" fontId="15" fillId="4" borderId="0" xfId="0" applyFont="1" applyFill="1" applyAlignment="1">
      <alignment horizontal="center" vertical="center"/>
    </xf>
    <xf numFmtId="1" fontId="12" fillId="0" borderId="0" xfId="0" applyNumberFormat="1" applyFont="1"/>
    <xf numFmtId="166" fontId="13" fillId="0" borderId="0" xfId="0" applyNumberFormat="1" applyFont="1"/>
    <xf numFmtId="171" fontId="13" fillId="0" borderId="0" xfId="0" applyNumberFormat="1" applyFont="1" applyAlignment="1">
      <alignment horizontal="right" indent="1"/>
    </xf>
    <xf numFmtId="0" fontId="0" fillId="0" borderId="4" xfId="0" applyBorder="1" applyAlignment="1">
      <alignment vertical="center"/>
    </xf>
    <xf numFmtId="0" fontId="23" fillId="4" borderId="8" xfId="0" applyFont="1" applyFill="1" applyBorder="1" applyAlignment="1">
      <alignment horizontal="center" vertical="center"/>
    </xf>
    <xf numFmtId="0" fontId="23" fillId="4" borderId="9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right" vertical="center"/>
    </xf>
    <xf numFmtId="166" fontId="4" fillId="3" borderId="3" xfId="0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horizontal="right" vertical="center"/>
    </xf>
    <xf numFmtId="171" fontId="4" fillId="3" borderId="3" xfId="0" applyNumberFormat="1" applyFont="1" applyFill="1" applyBorder="1" applyAlignment="1">
      <alignment horizontal="right" vertical="center"/>
    </xf>
    <xf numFmtId="1" fontId="4" fillId="3" borderId="3" xfId="0" applyNumberFormat="1" applyFont="1" applyFill="1" applyBorder="1" applyAlignment="1">
      <alignment horizontal="right" vertical="center"/>
    </xf>
    <xf numFmtId="168" fontId="4" fillId="2" borderId="0" xfId="0" applyNumberFormat="1" applyFont="1" applyFill="1" applyAlignment="1">
      <alignment vertical="center"/>
    </xf>
    <xf numFmtId="171" fontId="4" fillId="3" borderId="3" xfId="0" applyNumberFormat="1" applyFont="1" applyFill="1" applyBorder="1" applyAlignment="1">
      <alignment vertical="center"/>
    </xf>
    <xf numFmtId="0" fontId="4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171" fontId="26" fillId="2" borderId="0" xfId="0" applyNumberFormat="1" applyFont="1" applyFill="1" applyAlignment="1">
      <alignment vertical="center"/>
    </xf>
    <xf numFmtId="175" fontId="4" fillId="3" borderId="3" xfId="1" applyNumberFormat="1" applyFont="1" applyFill="1" applyBorder="1" applyAlignment="1">
      <alignment horizontal="right" vertical="center"/>
    </xf>
    <xf numFmtId="0" fontId="28" fillId="2" borderId="2" xfId="0" applyFont="1" applyFill="1" applyBorder="1" applyAlignment="1">
      <alignment vertical="center"/>
    </xf>
    <xf numFmtId="0" fontId="28" fillId="2" borderId="0" xfId="0" applyFont="1" applyFill="1" applyAlignment="1">
      <alignment horizontal="centerContinuous" vertical="center"/>
    </xf>
    <xf numFmtId="0" fontId="28" fillId="2" borderId="0" xfId="0" applyFont="1" applyFill="1" applyAlignment="1">
      <alignment vertical="center"/>
    </xf>
    <xf numFmtId="0" fontId="1" fillId="0" borderId="0" xfId="0" applyFon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center" vertical="center"/>
    </xf>
    <xf numFmtId="171" fontId="2" fillId="0" borderId="0" xfId="0" applyNumberFormat="1" applyFont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0" fontId="6" fillId="4" borderId="7" xfId="0" applyFont="1" applyFill="1" applyBorder="1" applyAlignment="1">
      <alignment horizontal="left" vertical="center"/>
    </xf>
    <xf numFmtId="0" fontId="3" fillId="2" borderId="14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28" fillId="2" borderId="6" xfId="0" applyFont="1" applyFill="1" applyBorder="1" applyAlignment="1">
      <alignment horizontal="right" vertical="center"/>
    </xf>
    <xf numFmtId="168" fontId="28" fillId="2" borderId="15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right" vertical="center"/>
    </xf>
    <xf numFmtId="168" fontId="28" fillId="0" borderId="0" xfId="0" applyNumberFormat="1" applyFont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0" fontId="31" fillId="4" borderId="8" xfId="0" applyFont="1" applyFill="1" applyBorder="1" applyAlignment="1">
      <alignment horizontal="center" vertical="center"/>
    </xf>
    <xf numFmtId="168" fontId="31" fillId="4" borderId="8" xfId="0" applyNumberFormat="1" applyFont="1" applyFill="1" applyBorder="1" applyAlignment="1">
      <alignment horizontal="center" vertical="center"/>
    </xf>
    <xf numFmtId="166" fontId="6" fillId="4" borderId="8" xfId="0" applyNumberFormat="1" applyFont="1" applyFill="1" applyBorder="1" applyAlignment="1">
      <alignment horizontal="center" vertical="center"/>
    </xf>
    <xf numFmtId="0" fontId="31" fillId="4" borderId="9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168" fontId="4" fillId="2" borderId="13" xfId="0" applyNumberFormat="1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vertical="center"/>
    </xf>
    <xf numFmtId="0" fontId="4" fillId="2" borderId="6" xfId="0" applyFont="1" applyFill="1" applyBorder="1" applyAlignment="1">
      <alignment vertical="center"/>
    </xf>
    <xf numFmtId="0" fontId="4" fillId="2" borderId="15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2" borderId="13" xfId="0" applyFont="1" applyFill="1" applyBorder="1" applyAlignment="1">
      <alignment vertical="center"/>
    </xf>
    <xf numFmtId="0" fontId="4" fillId="2" borderId="10" xfId="0" applyFont="1" applyFill="1" applyBorder="1" applyAlignment="1">
      <alignment vertical="center"/>
    </xf>
    <xf numFmtId="0" fontId="4" fillId="2" borderId="11" xfId="0" applyFont="1" applyFill="1" applyBorder="1" applyAlignment="1">
      <alignment vertical="center"/>
    </xf>
    <xf numFmtId="0" fontId="5" fillId="2" borderId="3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vertical="center"/>
    </xf>
    <xf numFmtId="0" fontId="6" fillId="4" borderId="13" xfId="0" applyFont="1" applyFill="1" applyBorder="1" applyAlignment="1">
      <alignment horizontal="center" vertical="center"/>
    </xf>
    <xf numFmtId="4" fontId="6" fillId="4" borderId="13" xfId="0" applyNumberFormat="1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4" fontId="6" fillId="2" borderId="13" xfId="0" applyNumberFormat="1" applyFont="1" applyFill="1" applyBorder="1" applyAlignment="1">
      <alignment horizontal="center" vertical="center"/>
    </xf>
    <xf numFmtId="9" fontId="27" fillId="2" borderId="0" xfId="1" applyFont="1" applyFill="1" applyBorder="1" applyAlignment="1">
      <alignment horizontal="left" vertical="center"/>
    </xf>
    <xf numFmtId="0" fontId="2" fillId="0" borderId="0" xfId="0" applyFont="1"/>
    <xf numFmtId="0" fontId="0" fillId="0" borderId="0" xfId="0" applyAlignment="1">
      <alignment horizontal="right"/>
    </xf>
    <xf numFmtId="0" fontId="32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171" fontId="0" fillId="0" borderId="0" xfId="0" applyNumberFormat="1"/>
    <xf numFmtId="9" fontId="2" fillId="0" borderId="0" xfId="0" applyNumberFormat="1" applyFont="1"/>
    <xf numFmtId="0" fontId="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33" fillId="5" borderId="0" xfId="0" applyFont="1" applyFill="1"/>
    <xf numFmtId="0" fontId="10" fillId="5" borderId="0" xfId="0" applyFont="1" applyFill="1"/>
    <xf numFmtId="0" fontId="35" fillId="5" borderId="0" xfId="0" applyFont="1" applyFill="1" applyAlignment="1">
      <alignment vertical="top"/>
    </xf>
    <xf numFmtId="0" fontId="36" fillId="5" borderId="0" xfId="0" applyFont="1" applyFill="1" applyAlignment="1">
      <alignment vertical="top"/>
    </xf>
    <xf numFmtId="0" fontId="37" fillId="5" borderId="0" xfId="0" applyFont="1" applyFill="1"/>
    <xf numFmtId="0" fontId="34" fillId="7" borderId="25" xfId="0" applyFont="1" applyFill="1" applyBorder="1" applyAlignment="1">
      <alignment vertical="center"/>
    </xf>
    <xf numFmtId="0" fontId="34" fillId="7" borderId="28" xfId="0" applyFont="1" applyFill="1" applyBorder="1" applyAlignment="1">
      <alignment vertical="center"/>
    </xf>
    <xf numFmtId="0" fontId="33" fillId="7" borderId="0" xfId="0" applyFont="1" applyFill="1"/>
    <xf numFmtId="166" fontId="33" fillId="7" borderId="0" xfId="0" quotePrefix="1" applyNumberFormat="1" applyFont="1" applyFill="1"/>
    <xf numFmtId="166" fontId="33" fillId="7" borderId="0" xfId="0" applyNumberFormat="1" applyFont="1" applyFill="1"/>
    <xf numFmtId="0" fontId="33" fillId="7" borderId="0" xfId="0" quotePrefix="1" applyFont="1" applyFill="1"/>
    <xf numFmtId="171" fontId="33" fillId="7" borderId="0" xfId="0" applyNumberFormat="1" applyFont="1" applyFill="1" applyAlignment="1">
      <alignment horizontal="right" indent="1"/>
    </xf>
    <xf numFmtId="0" fontId="45" fillId="5" borderId="0" xfId="0" applyFont="1" applyFill="1" applyAlignment="1">
      <alignment horizontal="left"/>
    </xf>
    <xf numFmtId="0" fontId="33" fillId="7" borderId="21" xfId="0" applyFont="1" applyFill="1" applyBorder="1"/>
    <xf numFmtId="0" fontId="37" fillId="7" borderId="22" xfId="0" applyFont="1" applyFill="1" applyBorder="1"/>
    <xf numFmtId="0" fontId="33" fillId="7" borderId="22" xfId="0" applyFont="1" applyFill="1" applyBorder="1"/>
    <xf numFmtId="0" fontId="33" fillId="7" borderId="23" xfId="0" applyFont="1" applyFill="1" applyBorder="1"/>
    <xf numFmtId="0" fontId="33" fillId="7" borderId="24" xfId="0" applyFont="1" applyFill="1" applyBorder="1"/>
    <xf numFmtId="0" fontId="33" fillId="7" borderId="26" xfId="0" applyFont="1" applyFill="1" applyBorder="1"/>
    <xf numFmtId="0" fontId="33" fillId="7" borderId="27" xfId="0" applyFont="1" applyFill="1" applyBorder="1"/>
    <xf numFmtId="171" fontId="33" fillId="7" borderId="27" xfId="0" applyNumberFormat="1" applyFont="1" applyFill="1" applyBorder="1" applyAlignment="1">
      <alignment horizontal="right" indent="1"/>
    </xf>
    <xf numFmtId="0" fontId="45" fillId="7" borderId="22" xfId="0" applyFont="1" applyFill="1" applyBorder="1"/>
    <xf numFmtId="171" fontId="33" fillId="7" borderId="22" xfId="0" applyNumberFormat="1" applyFont="1" applyFill="1" applyBorder="1" applyAlignment="1">
      <alignment horizontal="right" indent="1"/>
    </xf>
    <xf numFmtId="0" fontId="33" fillId="7" borderId="22" xfId="0" quotePrefix="1" applyFont="1" applyFill="1" applyBorder="1"/>
    <xf numFmtId="166" fontId="33" fillId="7" borderId="22" xfId="0" applyNumberFormat="1" applyFont="1" applyFill="1" applyBorder="1"/>
    <xf numFmtId="166" fontId="33" fillId="7" borderId="23" xfId="0" applyNumberFormat="1" applyFont="1" applyFill="1" applyBorder="1"/>
    <xf numFmtId="166" fontId="33" fillId="7" borderId="25" xfId="0" applyNumberFormat="1" applyFont="1" applyFill="1" applyBorder="1"/>
    <xf numFmtId="166" fontId="33" fillId="5" borderId="0" xfId="0" applyNumberFormat="1" applyFont="1" applyFill="1"/>
    <xf numFmtId="0" fontId="41" fillId="7" borderId="0" xfId="0" applyFont="1" applyFill="1" applyAlignment="1">
      <alignment vertical="center"/>
    </xf>
    <xf numFmtId="0" fontId="33" fillId="7" borderId="0" xfId="0" applyFont="1" applyFill="1" applyAlignment="1">
      <alignment vertical="center"/>
    </xf>
    <xf numFmtId="0" fontId="33" fillId="7" borderId="27" xfId="0" applyFont="1" applyFill="1" applyBorder="1" applyAlignment="1">
      <alignment vertical="center"/>
    </xf>
    <xf numFmtId="0" fontId="37" fillId="7" borderId="21" xfId="0" applyFont="1" applyFill="1" applyBorder="1"/>
    <xf numFmtId="166" fontId="38" fillId="7" borderId="24" xfId="0" applyNumberFormat="1" applyFont="1" applyFill="1" applyBorder="1"/>
    <xf numFmtId="0" fontId="33" fillId="7" borderId="24" xfId="0" quotePrefix="1" applyFont="1" applyFill="1" applyBorder="1"/>
    <xf numFmtId="0" fontId="33" fillId="7" borderId="0" xfId="0" applyFont="1" applyFill="1" applyAlignment="1">
      <alignment horizontal="center"/>
    </xf>
    <xf numFmtId="0" fontId="33" fillId="7" borderId="26" xfId="0" quotePrefix="1" applyFont="1" applyFill="1" applyBorder="1"/>
    <xf numFmtId="0" fontId="35" fillId="9" borderId="31" xfId="0" applyFont="1" applyFill="1" applyBorder="1" applyAlignment="1">
      <alignment horizontal="center"/>
    </xf>
    <xf numFmtId="166" fontId="33" fillId="7" borderId="28" xfId="0" applyNumberFormat="1" applyFont="1" applyFill="1" applyBorder="1"/>
    <xf numFmtId="171" fontId="13" fillId="0" borderId="0" xfId="0" applyNumberFormat="1" applyFont="1"/>
    <xf numFmtId="1" fontId="2" fillId="0" borderId="0" xfId="0" applyNumberFormat="1" applyFont="1"/>
    <xf numFmtId="171" fontId="48" fillId="0" borderId="0" xfId="0" applyNumberFormat="1" applyFont="1"/>
    <xf numFmtId="0" fontId="45" fillId="7" borderId="0" xfId="0" applyFont="1" applyFill="1"/>
    <xf numFmtId="0" fontId="9" fillId="6" borderId="32" xfId="0" applyFont="1" applyFill="1" applyBorder="1"/>
    <xf numFmtId="0" fontId="9" fillId="6" borderId="33" xfId="0" applyFont="1" applyFill="1" applyBorder="1"/>
    <xf numFmtId="0" fontId="0" fillId="6" borderId="33" xfId="0" applyFill="1" applyBorder="1"/>
    <xf numFmtId="0" fontId="0" fillId="6" borderId="34" xfId="0" applyFill="1" applyBorder="1"/>
    <xf numFmtId="0" fontId="33" fillId="5" borderId="35" xfId="0" applyFont="1" applyFill="1" applyBorder="1"/>
    <xf numFmtId="0" fontId="33" fillId="5" borderId="36" xfId="0" applyFont="1" applyFill="1" applyBorder="1"/>
    <xf numFmtId="0" fontId="33" fillId="5" borderId="37" xfId="0" applyFont="1" applyFill="1" applyBorder="1"/>
    <xf numFmtId="0" fontId="33" fillId="5" borderId="39" xfId="0" applyFont="1" applyFill="1" applyBorder="1"/>
    <xf numFmtId="0" fontId="37" fillId="5" borderId="39" xfId="0" applyFont="1" applyFill="1" applyBorder="1"/>
    <xf numFmtId="0" fontId="33" fillId="5" borderId="38" xfId="0" applyFont="1" applyFill="1" applyBorder="1"/>
    <xf numFmtId="0" fontId="33" fillId="5" borderId="40" xfId="0" applyFont="1" applyFill="1" applyBorder="1"/>
    <xf numFmtId="0" fontId="33" fillId="5" borderId="41" xfId="0" applyFont="1" applyFill="1" applyBorder="1"/>
    <xf numFmtId="0" fontId="49" fillId="9" borderId="31" xfId="0" applyFont="1" applyFill="1" applyBorder="1" applyAlignment="1">
      <alignment horizontal="center"/>
    </xf>
    <xf numFmtId="0" fontId="33" fillId="7" borderId="0" xfId="0" applyFont="1" applyFill="1" applyAlignment="1">
      <alignment horizontal="left" vertical="center"/>
    </xf>
    <xf numFmtId="0" fontId="33" fillId="0" borderId="0" xfId="2" applyFont="1"/>
    <xf numFmtId="0" fontId="50" fillId="6" borderId="32" xfId="2" applyFont="1" applyFill="1" applyBorder="1" applyAlignment="1">
      <alignment vertical="center"/>
    </xf>
    <xf numFmtId="0" fontId="51" fillId="6" borderId="32" xfId="2" applyFont="1" applyFill="1" applyBorder="1" applyAlignment="1">
      <alignment vertical="center"/>
    </xf>
    <xf numFmtId="0" fontId="50" fillId="6" borderId="33" xfId="2" applyFont="1" applyFill="1" applyBorder="1" applyAlignment="1">
      <alignment vertical="center"/>
    </xf>
    <xf numFmtId="0" fontId="51" fillId="6" borderId="33" xfId="2" applyFont="1" applyFill="1" applyBorder="1" applyAlignment="1">
      <alignment horizontal="center" vertical="center"/>
    </xf>
    <xf numFmtId="4" fontId="51" fillId="6" borderId="33" xfId="2" applyNumberFormat="1" applyFont="1" applyFill="1" applyBorder="1" applyAlignment="1">
      <alignment horizontal="left" vertical="center"/>
    </xf>
    <xf numFmtId="0" fontId="50" fillId="6" borderId="34" xfId="2" applyFont="1" applyFill="1" applyBorder="1" applyAlignment="1">
      <alignment vertical="center"/>
    </xf>
    <xf numFmtId="166" fontId="43" fillId="5" borderId="35" xfId="2" applyNumberFormat="1" applyFont="1" applyFill="1" applyBorder="1" applyAlignment="1">
      <alignment horizontal="right" vertical="center"/>
    </xf>
    <xf numFmtId="166" fontId="43" fillId="5" borderId="42" xfId="2" applyNumberFormat="1" applyFont="1" applyFill="1" applyBorder="1" applyAlignment="1">
      <alignment horizontal="right" vertical="center"/>
    </xf>
    <xf numFmtId="166" fontId="43" fillId="5" borderId="40" xfId="2" applyNumberFormat="1" applyFont="1" applyFill="1" applyBorder="1" applyAlignment="1">
      <alignment horizontal="right" vertical="center"/>
    </xf>
    <xf numFmtId="0" fontId="33" fillId="5" borderId="36" xfId="2" applyFont="1" applyFill="1" applyBorder="1" applyAlignment="1">
      <alignment vertical="center"/>
    </xf>
    <xf numFmtId="0" fontId="33" fillId="5" borderId="0" xfId="2" applyFont="1" applyFill="1" applyAlignment="1">
      <alignment vertical="center"/>
    </xf>
    <xf numFmtId="166" fontId="52" fillId="5" borderId="0" xfId="2" applyNumberFormat="1" applyFont="1" applyFill="1" applyAlignment="1">
      <alignment horizontal="left" vertical="center"/>
    </xf>
    <xf numFmtId="166" fontId="53" fillId="5" borderId="0" xfId="2" applyNumberFormat="1" applyFont="1" applyFill="1" applyAlignment="1">
      <alignment horizontal="left" vertical="center"/>
    </xf>
    <xf numFmtId="166" fontId="43" fillId="5" borderId="0" xfId="2" applyNumberFormat="1" applyFont="1" applyFill="1" applyAlignment="1">
      <alignment horizontal="right" vertical="center"/>
    </xf>
    <xf numFmtId="166" fontId="43" fillId="5" borderId="41" xfId="2" applyNumberFormat="1" applyFont="1" applyFill="1" applyBorder="1" applyAlignment="1">
      <alignment horizontal="right" vertical="center"/>
    </xf>
    <xf numFmtId="166" fontId="56" fillId="5" borderId="0" xfId="2" applyNumberFormat="1" applyFont="1" applyFill="1" applyAlignment="1">
      <alignment horizontal="left"/>
    </xf>
    <xf numFmtId="166" fontId="43" fillId="7" borderId="21" xfId="2" applyNumberFormat="1" applyFont="1" applyFill="1" applyBorder="1" applyAlignment="1">
      <alignment horizontal="right" vertical="center"/>
    </xf>
    <xf numFmtId="166" fontId="43" fillId="7" borderId="22" xfId="2" applyNumberFormat="1" applyFont="1" applyFill="1" applyBorder="1" applyAlignment="1">
      <alignment horizontal="right" vertical="center"/>
    </xf>
    <xf numFmtId="166" fontId="43" fillId="7" borderId="23" xfId="2" applyNumberFormat="1" applyFont="1" applyFill="1" applyBorder="1" applyAlignment="1">
      <alignment horizontal="right" vertical="center"/>
    </xf>
    <xf numFmtId="166" fontId="43" fillId="7" borderId="24" xfId="2" applyNumberFormat="1" applyFont="1" applyFill="1" applyBorder="1" applyAlignment="1">
      <alignment horizontal="right" vertical="center"/>
    </xf>
    <xf numFmtId="0" fontId="33" fillId="7" borderId="0" xfId="2" applyFont="1" applyFill="1" applyAlignment="1">
      <alignment vertical="center"/>
    </xf>
    <xf numFmtId="0" fontId="41" fillId="7" borderId="0" xfId="2" applyFont="1" applyFill="1" applyAlignment="1">
      <alignment vertical="center"/>
    </xf>
    <xf numFmtId="166" fontId="43" fillId="7" borderId="0" xfId="2" applyNumberFormat="1" applyFont="1" applyFill="1" applyAlignment="1">
      <alignment horizontal="right" vertical="center"/>
    </xf>
    <xf numFmtId="166" fontId="43" fillId="7" borderId="25" xfId="2" applyNumberFormat="1" applyFont="1" applyFill="1" applyBorder="1" applyAlignment="1">
      <alignment horizontal="left" vertical="center"/>
    </xf>
    <xf numFmtId="170" fontId="43" fillId="7" borderId="0" xfId="2" applyNumberFormat="1" applyFont="1" applyFill="1" applyAlignment="1">
      <alignment horizontal="right" vertical="center"/>
    </xf>
    <xf numFmtId="166" fontId="43" fillId="7" borderId="26" xfId="2" applyNumberFormat="1" applyFont="1" applyFill="1" applyBorder="1" applyAlignment="1">
      <alignment horizontal="right" vertical="center"/>
    </xf>
    <xf numFmtId="166" fontId="43" fillId="7" borderId="27" xfId="2" applyNumberFormat="1" applyFont="1" applyFill="1" applyBorder="1" applyAlignment="1">
      <alignment horizontal="right" vertical="center"/>
    </xf>
    <xf numFmtId="166" fontId="43" fillId="7" borderId="28" xfId="2" applyNumberFormat="1" applyFont="1" applyFill="1" applyBorder="1" applyAlignment="1">
      <alignment horizontal="right" vertical="center"/>
    </xf>
    <xf numFmtId="0" fontId="33" fillId="5" borderId="37" xfId="2" applyFont="1" applyFill="1" applyBorder="1"/>
    <xf numFmtId="0" fontId="33" fillId="5" borderId="39" xfId="2" applyFont="1" applyFill="1" applyBorder="1"/>
    <xf numFmtId="0" fontId="33" fillId="5" borderId="38" xfId="2" applyFont="1" applyFill="1" applyBorder="1"/>
    <xf numFmtId="166" fontId="43" fillId="0" borderId="0" xfId="2" applyNumberFormat="1" applyFont="1" applyAlignment="1">
      <alignment horizontal="right" vertical="center"/>
    </xf>
    <xf numFmtId="0" fontId="33" fillId="7" borderId="21" xfId="0" applyFont="1" applyFill="1" applyBorder="1" applyAlignment="1">
      <alignment vertical="center"/>
    </xf>
    <xf numFmtId="0" fontId="37" fillId="7" borderId="22" xfId="0" applyFont="1" applyFill="1" applyBorder="1" applyAlignment="1">
      <alignment vertical="center"/>
    </xf>
    <xf numFmtId="0" fontId="33" fillId="7" borderId="22" xfId="0" applyFont="1" applyFill="1" applyBorder="1" applyAlignment="1">
      <alignment vertical="center"/>
    </xf>
    <xf numFmtId="0" fontId="37" fillId="7" borderId="23" xfId="0" applyFont="1" applyFill="1" applyBorder="1" applyAlignment="1">
      <alignment vertical="center"/>
    </xf>
    <xf numFmtId="0" fontId="33" fillId="7" borderId="24" xfId="0" applyFont="1" applyFill="1" applyBorder="1" applyAlignment="1">
      <alignment vertical="center"/>
    </xf>
    <xf numFmtId="0" fontId="45" fillId="7" borderId="0" xfId="0" applyFont="1" applyFill="1" applyAlignment="1">
      <alignment vertical="center"/>
    </xf>
    <xf numFmtId="166" fontId="33" fillId="7" borderId="0" xfId="0" applyNumberFormat="1" applyFont="1" applyFill="1" applyAlignment="1">
      <alignment horizontal="right" vertical="center"/>
    </xf>
    <xf numFmtId="166" fontId="38" fillId="7" borderId="0" xfId="0" applyNumberFormat="1" applyFont="1" applyFill="1" applyAlignment="1">
      <alignment vertical="center"/>
    </xf>
    <xf numFmtId="166" fontId="38" fillId="7" borderId="25" xfId="0" applyNumberFormat="1" applyFont="1" applyFill="1" applyBorder="1" applyAlignment="1">
      <alignment vertical="center"/>
    </xf>
    <xf numFmtId="166" fontId="33" fillId="7" borderId="0" xfId="0" quotePrefix="1" applyNumberFormat="1" applyFont="1" applyFill="1" applyAlignment="1">
      <alignment vertical="center"/>
    </xf>
    <xf numFmtId="166" fontId="33" fillId="7" borderId="0" xfId="0" applyNumberFormat="1" applyFont="1" applyFill="1" applyAlignment="1">
      <alignment vertical="center"/>
    </xf>
    <xf numFmtId="171" fontId="33" fillId="7" borderId="25" xfId="0" quotePrefix="1" applyNumberFormat="1" applyFont="1" applyFill="1" applyBorder="1" applyAlignment="1">
      <alignment horizontal="left" vertical="center"/>
    </xf>
    <xf numFmtId="1" fontId="33" fillId="7" borderId="0" xfId="0" applyNumberFormat="1" applyFont="1" applyFill="1" applyAlignment="1">
      <alignment vertical="center"/>
    </xf>
    <xf numFmtId="0" fontId="33" fillId="7" borderId="0" xfId="0" quotePrefix="1" applyFont="1" applyFill="1" applyAlignment="1">
      <alignment vertical="center"/>
    </xf>
    <xf numFmtId="0" fontId="33" fillId="7" borderId="25" xfId="0" quotePrefix="1" applyFont="1" applyFill="1" applyBorder="1" applyAlignment="1">
      <alignment vertical="center"/>
    </xf>
    <xf numFmtId="0" fontId="33" fillId="7" borderId="25" xfId="0" applyFont="1" applyFill="1" applyBorder="1" applyAlignment="1">
      <alignment vertical="center"/>
    </xf>
    <xf numFmtId="171" fontId="33" fillId="7" borderId="0" xfId="0" applyNumberFormat="1" applyFont="1" applyFill="1" applyAlignment="1">
      <alignment horizontal="right" vertical="center"/>
    </xf>
    <xf numFmtId="0" fontId="33" fillId="7" borderId="26" xfId="0" applyFont="1" applyFill="1" applyBorder="1" applyAlignment="1">
      <alignment vertical="center"/>
    </xf>
    <xf numFmtId="171" fontId="33" fillId="7" borderId="27" xfId="0" applyNumberFormat="1" applyFont="1" applyFill="1" applyBorder="1" applyAlignment="1">
      <alignment horizontal="right" vertical="center"/>
    </xf>
    <xf numFmtId="0" fontId="33" fillId="7" borderId="27" xfId="0" quotePrefix="1" applyFont="1" applyFill="1" applyBorder="1" applyAlignment="1">
      <alignment vertical="center"/>
    </xf>
    <xf numFmtId="166" fontId="33" fillId="7" borderId="27" xfId="0" applyNumberFormat="1" applyFont="1" applyFill="1" applyBorder="1" applyAlignment="1">
      <alignment vertical="center"/>
    </xf>
    <xf numFmtId="0" fontId="33" fillId="7" borderId="28" xfId="0" quotePrefix="1" applyFont="1" applyFill="1" applyBorder="1" applyAlignment="1">
      <alignment vertical="center"/>
    </xf>
    <xf numFmtId="171" fontId="33" fillId="10" borderId="31" xfId="0" applyNumberFormat="1" applyFont="1" applyFill="1" applyBorder="1" applyAlignment="1">
      <alignment horizontal="right" vertical="center" indent="1"/>
    </xf>
    <xf numFmtId="0" fontId="0" fillId="7" borderId="0" xfId="0" applyFill="1" applyAlignment="1">
      <alignment vertical="center"/>
    </xf>
    <xf numFmtId="0" fontId="63" fillId="7" borderId="0" xfId="0" applyFont="1" applyFill="1"/>
    <xf numFmtId="0" fontId="33" fillId="0" borderId="0" xfId="2" applyFont="1" applyAlignment="1">
      <alignment vertical="center"/>
    </xf>
    <xf numFmtId="0" fontId="1" fillId="0" borderId="4" xfId="0" applyFont="1" applyBorder="1" applyAlignment="1">
      <alignment vertical="center"/>
    </xf>
    <xf numFmtId="1" fontId="33" fillId="8" borderId="29" xfId="0" applyNumberFormat="1" applyFont="1" applyFill="1" applyBorder="1" applyAlignment="1" applyProtection="1">
      <alignment horizontal="right" vertical="center" indent="1"/>
      <protection locked="0"/>
    </xf>
    <xf numFmtId="171" fontId="33" fillId="8" borderId="29" xfId="0" applyNumberFormat="1" applyFont="1" applyFill="1" applyBorder="1" applyAlignment="1" applyProtection="1">
      <alignment horizontal="right" vertical="center" indent="1"/>
      <protection locked="0"/>
    </xf>
    <xf numFmtId="171" fontId="33" fillId="8" borderId="30" xfId="0" applyNumberFormat="1" applyFont="1" applyFill="1" applyBorder="1" applyAlignment="1" applyProtection="1">
      <alignment horizontal="right" vertical="center" indent="1"/>
      <protection locked="0"/>
    </xf>
    <xf numFmtId="175" fontId="33" fillId="8" borderId="29" xfId="1" applyNumberFormat="1" applyFont="1" applyFill="1" applyBorder="1" applyAlignment="1" applyProtection="1">
      <alignment horizontal="right" vertical="center" indent="1"/>
      <protection locked="0"/>
    </xf>
    <xf numFmtId="171" fontId="33" fillId="10" borderId="31" xfId="0" applyNumberFormat="1" applyFont="1" applyFill="1" applyBorder="1" applyAlignment="1" applyProtection="1">
      <alignment horizontal="center" vertical="center"/>
      <protection locked="0"/>
    </xf>
    <xf numFmtId="169" fontId="33" fillId="10" borderId="31" xfId="0" applyNumberFormat="1" applyFont="1" applyFill="1" applyBorder="1" applyAlignment="1" applyProtection="1">
      <alignment horizontal="center" vertical="center"/>
      <protection locked="0"/>
    </xf>
    <xf numFmtId="175" fontId="33" fillId="10" borderId="31" xfId="1" applyNumberFormat="1" applyFont="1" applyFill="1" applyBorder="1" applyAlignment="1" applyProtection="1">
      <alignment horizontal="center" vertical="center"/>
      <protection locked="0"/>
    </xf>
    <xf numFmtId="169" fontId="33" fillId="10" borderId="31" xfId="0" applyNumberFormat="1" applyFont="1" applyFill="1" applyBorder="1" applyAlignment="1" applyProtection="1">
      <alignment horizontal="right" vertical="center" indent="1"/>
      <protection locked="0"/>
    </xf>
    <xf numFmtId="171" fontId="33" fillId="10" borderId="31" xfId="0" applyNumberFormat="1" applyFont="1" applyFill="1" applyBorder="1" applyAlignment="1" applyProtection="1">
      <alignment horizontal="right" vertical="center" indent="1"/>
      <protection locked="0"/>
    </xf>
    <xf numFmtId="175" fontId="33" fillId="10" borderId="31" xfId="1" applyNumberFormat="1" applyFont="1" applyFill="1" applyBorder="1" applyAlignment="1" applyProtection="1">
      <alignment horizontal="right" vertical="center" indent="1"/>
      <protection locked="0"/>
    </xf>
    <xf numFmtId="1" fontId="33" fillId="10" borderId="31" xfId="0" applyNumberFormat="1" applyFont="1" applyFill="1" applyBorder="1" applyAlignment="1" applyProtection="1">
      <alignment horizontal="right" vertical="center" indent="1"/>
      <protection locked="0"/>
    </xf>
    <xf numFmtId="2" fontId="39" fillId="10" borderId="31" xfId="0" applyNumberFormat="1" applyFont="1" applyFill="1" applyBorder="1" applyAlignment="1" applyProtection="1">
      <alignment horizontal="right" vertical="center" indent="1"/>
      <protection locked="0"/>
    </xf>
    <xf numFmtId="0" fontId="1" fillId="0" borderId="4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4" fillId="2" borderId="11" xfId="0" quotePrefix="1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169" fontId="4" fillId="3" borderId="3" xfId="0" applyNumberFormat="1" applyFont="1" applyFill="1" applyBorder="1" applyAlignment="1">
      <alignment horizontal="right" vertical="center"/>
    </xf>
    <xf numFmtId="0" fontId="4" fillId="2" borderId="0" xfId="0" quotePrefix="1" applyFont="1" applyFill="1" applyAlignment="1">
      <alignment horizontal="left" vertical="center"/>
    </xf>
    <xf numFmtId="2" fontId="4" fillId="3" borderId="3" xfId="0" applyNumberFormat="1" applyFont="1" applyFill="1" applyBorder="1" applyAlignment="1">
      <alignment horizontal="right" vertical="center"/>
    </xf>
    <xf numFmtId="0" fontId="4" fillId="2" borderId="11" xfId="0" applyFont="1" applyFill="1" applyBorder="1" applyAlignment="1">
      <alignment horizontal="left" vertical="center"/>
    </xf>
    <xf numFmtId="0" fontId="2" fillId="2" borderId="14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170" fontId="4" fillId="3" borderId="3" xfId="0" applyNumberFormat="1" applyFont="1" applyFill="1" applyBorder="1" applyAlignment="1">
      <alignment horizontal="right" vertical="center"/>
    </xf>
    <xf numFmtId="168" fontId="4" fillId="3" borderId="3" xfId="0" applyNumberFormat="1" applyFont="1" applyFill="1" applyBorder="1" applyAlignment="1">
      <alignment horizontal="right" vertical="center"/>
    </xf>
    <xf numFmtId="171" fontId="4" fillId="3" borderId="3" xfId="0" applyNumberFormat="1" applyFont="1" applyFill="1" applyBorder="1" applyAlignment="1" applyProtection="1">
      <alignment horizontal="right" vertical="center"/>
      <protection locked="0"/>
    </xf>
    <xf numFmtId="0" fontId="4" fillId="2" borderId="11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right" vertical="center"/>
    </xf>
    <xf numFmtId="0" fontId="4" fillId="2" borderId="6" xfId="0" applyFont="1" applyFill="1" applyBorder="1" applyAlignment="1">
      <alignment horizontal="center" vertical="center"/>
    </xf>
    <xf numFmtId="168" fontId="4" fillId="2" borderId="6" xfId="0" applyNumberFormat="1" applyFont="1" applyFill="1" applyBorder="1" applyAlignment="1">
      <alignment horizontal="right" vertical="center"/>
    </xf>
    <xf numFmtId="0" fontId="4" fillId="2" borderId="15" xfId="0" applyFont="1" applyFill="1" applyBorder="1" applyAlignment="1">
      <alignment horizontal="center" vertical="center"/>
    </xf>
    <xf numFmtId="174" fontId="4" fillId="2" borderId="13" xfId="0" applyNumberFormat="1" applyFont="1" applyFill="1" applyBorder="1" applyAlignment="1">
      <alignment horizontal="right" vertical="center"/>
    </xf>
    <xf numFmtId="174" fontId="4" fillId="2" borderId="10" xfId="0" applyNumberFormat="1" applyFont="1" applyFill="1" applyBorder="1" applyAlignment="1">
      <alignment horizontal="right" vertical="center"/>
    </xf>
    <xf numFmtId="174" fontId="4" fillId="2" borderId="0" xfId="0" applyNumberFormat="1" applyFont="1" applyFill="1" applyAlignment="1">
      <alignment horizontal="right" vertical="center"/>
    </xf>
    <xf numFmtId="174" fontId="4" fillId="2" borderId="11" xfId="0" applyNumberFormat="1" applyFont="1" applyFill="1" applyBorder="1" applyAlignment="1">
      <alignment horizontal="right" vertical="center"/>
    </xf>
    <xf numFmtId="0" fontId="4" fillId="2" borderId="16" xfId="0" applyFont="1" applyFill="1" applyBorder="1" applyAlignment="1">
      <alignment horizontal="center" vertical="center"/>
    </xf>
    <xf numFmtId="174" fontId="4" fillId="2" borderId="2" xfId="0" applyNumberFormat="1" applyFont="1" applyFill="1" applyBorder="1" applyAlignment="1">
      <alignment horizontal="right" vertical="center"/>
    </xf>
    <xf numFmtId="0" fontId="4" fillId="2" borderId="2" xfId="0" applyFont="1" applyFill="1" applyBorder="1" applyAlignment="1">
      <alignment horizontal="center" vertical="center"/>
    </xf>
    <xf numFmtId="174" fontId="4" fillId="2" borderId="17" xfId="0" applyNumberFormat="1" applyFont="1" applyFill="1" applyBorder="1" applyAlignment="1">
      <alignment horizontal="right" vertical="center"/>
    </xf>
    <xf numFmtId="1" fontId="4" fillId="2" borderId="6" xfId="0" applyNumberFormat="1" applyFont="1" applyFill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174" fontId="4" fillId="2" borderId="1" xfId="0" applyNumberFormat="1" applyFont="1" applyFill="1" applyBorder="1" applyAlignment="1">
      <alignment horizontal="center" vertical="center"/>
    </xf>
    <xf numFmtId="173" fontId="4" fillId="2" borderId="1" xfId="0" applyNumberFormat="1" applyFont="1" applyFill="1" applyBorder="1" applyAlignment="1">
      <alignment horizontal="center" vertical="center"/>
    </xf>
    <xf numFmtId="174" fontId="4" fillId="2" borderId="19" xfId="0" applyNumberFormat="1" applyFont="1" applyFill="1" applyBorder="1" applyAlignment="1">
      <alignment horizontal="center" vertical="center"/>
    </xf>
    <xf numFmtId="174" fontId="4" fillId="2" borderId="0" xfId="0" applyNumberFormat="1" applyFont="1" applyFill="1" applyAlignment="1">
      <alignment horizontal="center" vertical="center"/>
    </xf>
    <xf numFmtId="173" fontId="4" fillId="2" borderId="0" xfId="0" applyNumberFormat="1" applyFont="1" applyFill="1" applyAlignment="1">
      <alignment horizontal="center" vertical="center"/>
    </xf>
    <xf numFmtId="174" fontId="4" fillId="2" borderId="11" xfId="0" applyNumberFormat="1" applyFont="1" applyFill="1" applyBorder="1" applyAlignment="1">
      <alignment horizontal="center" vertical="center"/>
    </xf>
    <xf numFmtId="174" fontId="4" fillId="2" borderId="2" xfId="0" applyNumberFormat="1" applyFont="1" applyFill="1" applyBorder="1" applyAlignment="1">
      <alignment horizontal="center" vertical="center"/>
    </xf>
    <xf numFmtId="173" fontId="4" fillId="2" borderId="2" xfId="0" applyNumberFormat="1" applyFont="1" applyFill="1" applyBorder="1" applyAlignment="1">
      <alignment horizontal="center" vertical="center"/>
    </xf>
    <xf numFmtId="174" fontId="4" fillId="2" borderId="17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/>
    </xf>
    <xf numFmtId="0" fontId="28" fillId="2" borderId="12" xfId="0" applyFont="1" applyFill="1" applyBorder="1" applyAlignment="1">
      <alignment horizontal="center" vertical="center"/>
    </xf>
    <xf numFmtId="166" fontId="4" fillId="2" borderId="13" xfId="0" applyNumberFormat="1" applyFont="1" applyFill="1" applyBorder="1" applyAlignment="1">
      <alignment horizontal="center" vertical="center"/>
    </xf>
    <xf numFmtId="166" fontId="4" fillId="2" borderId="0" xfId="0" applyNumberFormat="1" applyFont="1" applyFill="1" applyAlignment="1">
      <alignment vertical="center"/>
    </xf>
    <xf numFmtId="166" fontId="4" fillId="2" borderId="0" xfId="0" quotePrefix="1" applyNumberFormat="1" applyFont="1" applyFill="1" applyAlignment="1">
      <alignment horizontal="left" vertical="center"/>
    </xf>
    <xf numFmtId="166" fontId="4" fillId="2" borderId="0" xfId="0" applyNumberFormat="1" applyFont="1" applyFill="1" applyAlignment="1">
      <alignment horizontal="left" vertical="center"/>
    </xf>
    <xf numFmtId="0" fontId="28" fillId="2" borderId="12" xfId="0" applyFont="1" applyFill="1" applyBorder="1" applyAlignment="1">
      <alignment vertical="center"/>
    </xf>
    <xf numFmtId="168" fontId="4" fillId="2" borderId="0" xfId="0" applyNumberFormat="1" applyFont="1" applyFill="1" applyAlignment="1">
      <alignment horizontal="center" vertical="center"/>
    </xf>
    <xf numFmtId="0" fontId="28" fillId="2" borderId="5" xfId="0" applyFont="1" applyFill="1" applyBorder="1" applyAlignment="1">
      <alignment vertical="center"/>
    </xf>
    <xf numFmtId="0" fontId="4" fillId="2" borderId="0" xfId="0" applyFont="1" applyFill="1" applyAlignment="1">
      <alignment horizontal="centerContinuous" vertical="center"/>
    </xf>
    <xf numFmtId="0" fontId="4" fillId="2" borderId="2" xfId="0" applyFont="1" applyFill="1" applyBorder="1" applyAlignment="1">
      <alignment vertical="center"/>
    </xf>
    <xf numFmtId="175" fontId="4" fillId="2" borderId="3" xfId="1" applyNumberFormat="1" applyFont="1" applyFill="1" applyBorder="1" applyAlignment="1">
      <alignment horizontal="center" vertical="center"/>
    </xf>
    <xf numFmtId="2" fontId="4" fillId="2" borderId="3" xfId="0" applyNumberFormat="1" applyFont="1" applyFill="1" applyBorder="1" applyAlignment="1">
      <alignment horizontal="center" vertical="center"/>
    </xf>
    <xf numFmtId="171" fontId="4" fillId="2" borderId="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4" borderId="12" xfId="0" applyFont="1" applyFill="1" applyBorder="1" applyAlignment="1">
      <alignment vertical="center"/>
    </xf>
    <xf numFmtId="0" fontId="4" fillId="4" borderId="13" xfId="0" applyFont="1" applyFill="1" applyBorder="1" applyAlignment="1">
      <alignment vertical="center"/>
    </xf>
    <xf numFmtId="0" fontId="4" fillId="4" borderId="10" xfId="0" applyFont="1" applyFill="1" applyBorder="1" applyAlignment="1">
      <alignment vertical="center"/>
    </xf>
    <xf numFmtId="0" fontId="4" fillId="2" borderId="12" xfId="0" applyFont="1" applyFill="1" applyBorder="1" applyAlignment="1">
      <alignment vertical="center"/>
    </xf>
    <xf numFmtId="0" fontId="4" fillId="2" borderId="5" xfId="0" applyFont="1" applyFill="1" applyBorder="1" applyAlignment="1">
      <alignment horizontal="left" vertical="center" indent="1"/>
    </xf>
    <xf numFmtId="164" fontId="4" fillId="3" borderId="3" xfId="0" applyNumberFormat="1" applyFont="1" applyFill="1" applyBorder="1" applyAlignment="1" applyProtection="1">
      <alignment horizontal="right" vertical="center"/>
      <protection locked="0"/>
    </xf>
    <xf numFmtId="4" fontId="4" fillId="2" borderId="0" xfId="0" applyNumberFormat="1" applyFont="1" applyFill="1" applyAlignment="1">
      <alignment horizontal="left" vertical="center"/>
    </xf>
    <xf numFmtId="4" fontId="4" fillId="2" borderId="0" xfId="0" applyNumberFormat="1" applyFont="1" applyFill="1" applyAlignment="1">
      <alignment horizontal="center" vertical="center"/>
    </xf>
    <xf numFmtId="164" fontId="4" fillId="2" borderId="0" xfId="0" applyNumberFormat="1" applyFont="1" applyFill="1" applyAlignment="1">
      <alignment horizontal="right" vertical="center"/>
    </xf>
    <xf numFmtId="4" fontId="4" fillId="2" borderId="11" xfId="0" applyNumberFormat="1" applyFont="1" applyFill="1" applyBorder="1" applyAlignment="1">
      <alignment horizontal="left" vertical="center"/>
    </xf>
    <xf numFmtId="172" fontId="4" fillId="3" borderId="3" xfId="0" applyNumberFormat="1" applyFont="1" applyFill="1" applyBorder="1" applyAlignment="1" applyProtection="1">
      <alignment horizontal="right" vertical="center"/>
      <protection locked="0"/>
    </xf>
    <xf numFmtId="172" fontId="4" fillId="2" borderId="0" xfId="0" applyNumberFormat="1" applyFont="1" applyFill="1" applyAlignment="1">
      <alignment horizontal="right" vertical="center"/>
    </xf>
    <xf numFmtId="0" fontId="2" fillId="2" borderId="5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4" fontId="4" fillId="2" borderId="11" xfId="0" applyNumberFormat="1" applyFont="1" applyFill="1" applyBorder="1" applyAlignment="1">
      <alignment horizontal="center" vertical="center"/>
    </xf>
    <xf numFmtId="3" fontId="4" fillId="3" borderId="3" xfId="0" applyNumberFormat="1" applyFont="1" applyFill="1" applyBorder="1" applyAlignment="1" applyProtection="1">
      <alignment horizontal="right" vertical="center"/>
      <protection locked="0"/>
    </xf>
    <xf numFmtId="3" fontId="4" fillId="2" borderId="0" xfId="0" applyNumberFormat="1" applyFont="1" applyFill="1" applyAlignment="1">
      <alignment horizontal="right" vertical="center"/>
    </xf>
    <xf numFmtId="165" fontId="4" fillId="3" borderId="3" xfId="0" applyNumberFormat="1" applyFont="1" applyFill="1" applyBorder="1" applyAlignment="1" applyProtection="1">
      <alignment horizontal="right" vertical="center"/>
      <protection locked="0"/>
    </xf>
    <xf numFmtId="165" fontId="4" fillId="2" borderId="0" xfId="0" applyNumberFormat="1" applyFont="1" applyFill="1" applyAlignment="1">
      <alignment horizontal="right" vertical="center"/>
    </xf>
    <xf numFmtId="0" fontId="4" fillId="2" borderId="14" xfId="0" applyFont="1" applyFill="1" applyBorder="1" applyAlignment="1">
      <alignment horizontal="left" vertical="center" indent="1"/>
    </xf>
    <xf numFmtId="165" fontId="4" fillId="2" borderId="6" xfId="0" applyNumberFormat="1" applyFont="1" applyFill="1" applyBorder="1" applyAlignment="1">
      <alignment horizontal="right" vertical="center"/>
    </xf>
    <xf numFmtId="4" fontId="4" fillId="2" borderId="6" xfId="0" applyNumberFormat="1" applyFont="1" applyFill="1" applyBorder="1" applyAlignment="1">
      <alignment horizontal="left" vertical="center"/>
    </xf>
    <xf numFmtId="4" fontId="4" fillId="2" borderId="6" xfId="0" applyNumberFormat="1" applyFont="1" applyFill="1" applyBorder="1" applyAlignment="1">
      <alignment horizontal="center" vertical="center"/>
    </xf>
    <xf numFmtId="4" fontId="4" fillId="2" borderId="15" xfId="0" applyNumberFormat="1" applyFont="1" applyFill="1" applyBorder="1" applyAlignment="1">
      <alignment horizontal="left" vertical="center"/>
    </xf>
    <xf numFmtId="0" fontId="64" fillId="7" borderId="0" xfId="2" applyFont="1" applyFill="1" applyAlignment="1">
      <alignment vertical="center"/>
    </xf>
    <xf numFmtId="176" fontId="28" fillId="2" borderId="15" xfId="0" applyNumberFormat="1" applyFont="1" applyFill="1" applyBorder="1" applyAlignment="1">
      <alignment horizontal="center" vertical="center"/>
    </xf>
  </cellXfs>
  <cellStyles count="3">
    <cellStyle name="Normal" xfId="0" builtinId="0"/>
    <cellStyle name="Normal 2" xfId="2"/>
    <cellStyle name="Porcentagem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BE8D9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000000"/>
      <rgbColor rgb="00F3F3F1"/>
      <rgbColor rgb="00993366"/>
      <rgbColor rgb="00333399"/>
      <rgbColor rgb="00333333"/>
    </indexedColors>
    <mruColors>
      <color rgb="FFEEEEEE"/>
      <color rgb="FF0066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chartsheet" Target="chartsheets/sheet1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89218124050285"/>
          <c:y val="5.2188552188552187E-2"/>
          <c:w val="0.82146860754247819"/>
          <c:h val="0.8070286526684165"/>
        </c:manualLayout>
      </c:layout>
      <c:scatterChart>
        <c:scatterStyle val="lineMarker"/>
        <c:varyColors val="0"/>
        <c:ser>
          <c:idx val="0"/>
          <c:order val="0"/>
          <c:tx>
            <c:v>ho</c:v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  <a:prstDash val="solid"/>
              </a:ln>
            </c:spPr>
          </c:marker>
          <c:xVal>
            <c:numRef>
              <c:f>Principal!$D$24:$D$39</c:f>
              <c:numCache>
                <c:formatCode>0.000</c:formatCode>
                <c:ptCount val="16"/>
                <c:pt idx="0">
                  <c:v>1E-3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Principal!$G$24:$G$39</c:f>
              <c:numCache>
                <c:formatCode>0.0%</c:formatCode>
                <c:ptCount val="16"/>
                <c:pt idx="0">
                  <c:v>1.2644347841583173E-3</c:v>
                </c:pt>
                <c:pt idx="1">
                  <c:v>0.12554889606647002</c:v>
                </c:pt>
                <c:pt idx="2">
                  <c:v>0.24739434653072401</c:v>
                </c:pt>
                <c:pt idx="3">
                  <c:v>0.36295100232790251</c:v>
                </c:pt>
                <c:pt idx="4">
                  <c:v>0.46991590420952689</c:v>
                </c:pt>
                <c:pt idx="5">
                  <c:v>0.56607222955120462</c:v>
                </c:pt>
                <c:pt idx="6">
                  <c:v>0.64889678045635546</c:v>
                </c:pt>
                <c:pt idx="7">
                  <c:v>0.71469481528756551</c:v>
                </c:pt>
                <c:pt idx="8">
                  <c:v>0.75631376526410288</c:v>
                </c:pt>
                <c:pt idx="9">
                  <c:v>0.75530722165073727</c:v>
                </c:pt>
                <c:pt idx="10">
                  <c:v>0.64087163317355977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33-4002-A42F-76C742B12C61}"/>
            </c:ext>
          </c:extLst>
        </c:ser>
        <c:ser>
          <c:idx val="1"/>
          <c:order val="1"/>
          <c:marker>
            <c:symbol val="circle"/>
            <c:size val="10"/>
            <c:spPr>
              <a:noFill/>
              <a:ln w="15875">
                <a:solidFill>
                  <a:srgbClr val="0066FF"/>
                </a:solidFill>
              </a:ln>
            </c:spPr>
          </c:marker>
          <c:xVal>
            <c:numRef>
              <c:f>Principal!$D$50:$D$51</c:f>
              <c:numCache>
                <c:formatCode>0.000</c:formatCode>
                <c:ptCount val="2"/>
                <c:pt idx="0">
                  <c:v>0.74744916750000001</c:v>
                </c:pt>
                <c:pt idx="1">
                  <c:v>0.74744916750000001</c:v>
                </c:pt>
              </c:numCache>
            </c:numRef>
          </c:xVal>
          <c:yVal>
            <c:numRef>
              <c:f>Principal!$E$50:$E$51</c:f>
              <c:numCache>
                <c:formatCode>0.000</c:formatCode>
                <c:ptCount val="2"/>
                <c:pt idx="0">
                  <c:v>0.73815346249949976</c:v>
                </c:pt>
                <c:pt idx="1">
                  <c:v>0.73815346249949976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33-4002-A42F-76C742B12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30815"/>
        <c:axId val="1"/>
      </c:scatterChart>
      <c:valAx>
        <c:axId val="275530815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chemeClr val="tx1">
                  <a:lumMod val="65000"/>
                  <a:lumOff val="3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 sz="1100" b="1">
                    <a:solidFill>
                      <a:sysClr val="windowText" lastClr="000000"/>
                    </a:solidFill>
                    <a:latin typeface="+mn-lt"/>
                  </a:rPr>
                  <a:t>Coeficiente de Avanço (J)</a:t>
                </a:r>
              </a:p>
            </c:rich>
          </c:tx>
          <c:layout>
            <c:manualLayout>
              <c:xMode val="edge"/>
              <c:yMode val="edge"/>
              <c:x val="0.42236842105263156"/>
              <c:y val="0.9394791666666666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 sz="1100" b="1">
                    <a:solidFill>
                      <a:sysClr val="windowText" lastClr="000000"/>
                    </a:solidFill>
                    <a:latin typeface="+mn-lt"/>
                  </a:rPr>
                  <a:t>Eficiência  (</a:t>
                </a:r>
                <a:r>
                  <a:rPr lang="pt-BR" sz="1100" b="1">
                    <a:solidFill>
                      <a:sysClr val="windowText" lastClr="000000"/>
                    </a:solidFill>
                    <a:latin typeface="Symbol" panose="05050102010706020507" pitchFamily="18" charset="2"/>
                  </a:rPr>
                  <a:t>h</a:t>
                </a:r>
                <a:r>
                  <a:rPr lang="pt-BR" sz="1100" b="1" baseline="-25000">
                    <a:solidFill>
                      <a:sysClr val="windowText" lastClr="000000"/>
                    </a:solidFill>
                    <a:latin typeface="+mn-lt"/>
                  </a:rPr>
                  <a:t>o</a:t>
                </a:r>
                <a:r>
                  <a:rPr lang="pt-BR" sz="1100" b="1">
                    <a:solidFill>
                      <a:sysClr val="windowText" lastClr="000000"/>
                    </a:solidFill>
                    <a:latin typeface="+mn-lt"/>
                  </a:rPr>
                  <a:t> x </a:t>
                </a:r>
                <a:r>
                  <a:rPr lang="pt-BR" sz="1100" b="1">
                    <a:solidFill>
                      <a:sysClr val="windowText" lastClr="000000"/>
                    </a:solidFill>
                    <a:latin typeface="Symbol" panose="05050102010706020507" pitchFamily="18" charset="2"/>
                  </a:rPr>
                  <a:t>h</a:t>
                </a:r>
                <a:r>
                  <a:rPr lang="pt-BR" sz="1100" b="1" baseline="-25000">
                    <a:solidFill>
                      <a:sysClr val="windowText" lastClr="000000"/>
                    </a:solidFill>
                    <a:latin typeface="+mn-lt"/>
                  </a:rPr>
                  <a:t>rr</a:t>
                </a:r>
                <a:r>
                  <a:rPr lang="pt-BR" sz="1100" b="1">
                    <a:solidFill>
                      <a:sysClr val="windowText" lastClr="000000"/>
                    </a:solidFill>
                    <a:latin typeface="+mn-lt"/>
                  </a:rPr>
                  <a:t>)</a:t>
                </a:r>
                <a:endParaRPr lang="pt-BR" sz="1100" b="1" baseline="-25000">
                  <a:solidFill>
                    <a:sysClr val="windowText" lastClr="000000"/>
                  </a:solidFill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2.1815340516645944E-2"/>
              <c:y val="0.31006917104111986"/>
            </c:manualLayout>
          </c:layout>
          <c:overlay val="0"/>
        </c:title>
        <c:numFmt formatCode="0.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75530815"/>
        <c:crosses val="autoZero"/>
        <c:crossBetween val="midCat"/>
      </c:valAx>
      <c:spPr>
        <a:solidFill>
          <a:srgbClr val="FFFFFF"/>
        </a:solidFill>
        <a:ln w="952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Diagrama de Burril</a:t>
            </a:r>
          </a:p>
        </c:rich>
      </c:tx>
      <c:layout>
        <c:manualLayout>
          <c:xMode val="edge"/>
          <c:yMode val="edge"/>
          <c:x val="0.42456608811748997"/>
          <c:y val="1.36186770428015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1826158713899"/>
          <c:y val="6.8093449900301237E-2"/>
          <c:w val="0.82508308134332708"/>
          <c:h val="0.84241325162372671"/>
        </c:manualLayout>
      </c:layout>
      <c:scatterChart>
        <c:scatterStyle val="smoothMarker"/>
        <c:varyColors val="0"/>
        <c:ser>
          <c:idx val="0"/>
          <c:order val="0"/>
          <c:tx>
            <c:v>2,5%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EBE8D9"/>
              </a:solidFill>
              <a:ln>
                <a:solidFill>
                  <a:srgbClr val="EBE8D9"/>
                </a:solidFill>
                <a:prstDash val="solid"/>
              </a:ln>
            </c:spPr>
          </c:marker>
          <c:trendline>
            <c:spPr>
              <a:ln w="22225">
                <a:solidFill>
                  <a:schemeClr val="accent3">
                    <a:lumMod val="75000"/>
                  </a:schemeClr>
                </a:solidFill>
                <a:prstDash val="solid"/>
              </a:ln>
            </c:spPr>
            <c:trendlineType val="log"/>
            <c:dispRSqr val="0"/>
            <c:dispEq val="1"/>
            <c:trendlineLbl>
              <c:layout>
                <c:manualLayout>
                  <c:x val="-0.43023579996425682"/>
                  <c:y val="0.38670894737379619"/>
                </c:manualLayout>
              </c:layout>
              <c:numFmt formatCode="0.00000" sourceLinked="0"/>
              <c:spPr>
                <a:solidFill>
                  <a:schemeClr val="bg1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xVal>
            <c:numRef>
              <c:f>Cavitação!$H$24:$H$32</c:f>
              <c:numCache>
                <c:formatCode>0.00</c:formatCode>
                <c:ptCount val="9"/>
                <c:pt idx="0">
                  <c:v>0.2</c:v>
                </c:pt>
                <c:pt idx="1">
                  <c:v>0.3</c:v>
                </c:pt>
                <c:pt idx="2">
                  <c:v>0.4</c:v>
                </c:pt>
                <c:pt idx="3">
                  <c:v>0.5</c:v>
                </c:pt>
                <c:pt idx="4">
                  <c:v>0.6</c:v>
                </c:pt>
                <c:pt idx="5">
                  <c:v>0.7</c:v>
                </c:pt>
                <c:pt idx="6">
                  <c:v>0.8</c:v>
                </c:pt>
                <c:pt idx="7">
                  <c:v>0.9</c:v>
                </c:pt>
                <c:pt idx="8">
                  <c:v>1</c:v>
                </c:pt>
              </c:numCache>
            </c:numRef>
          </c:xVal>
          <c:yVal>
            <c:numRef>
              <c:f>Cavitação!$I$24:$I$32</c:f>
              <c:numCache>
                <c:formatCode>0.000</c:formatCode>
                <c:ptCount val="9"/>
                <c:pt idx="0">
                  <c:v>7.9244659623055685E-2</c:v>
                </c:pt>
                <c:pt idx="1">
                  <c:v>0.11483680881693181</c:v>
                </c:pt>
                <c:pt idx="2">
                  <c:v>0.14273338317489662</c:v>
                </c:pt>
                <c:pt idx="3">
                  <c:v>0.16641490697273109</c:v>
                </c:pt>
                <c:pt idx="4">
                  <c:v>0.18200407653791362</c:v>
                </c:pt>
                <c:pt idx="5">
                  <c:v>0.19905358527674866</c:v>
                </c:pt>
                <c:pt idx="6">
                  <c:v>0.21220117390898985</c:v>
                </c:pt>
                <c:pt idx="7">
                  <c:v>0.2262171673308373</c:v>
                </c:pt>
                <c:pt idx="8">
                  <c:v>0.2350673040838856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05-4771-BBE1-C87DD7FEF7B7}"/>
            </c:ext>
          </c:extLst>
        </c:ser>
        <c:ser>
          <c:idx val="1"/>
          <c:order val="1"/>
          <c:tx>
            <c:v>5,0%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EBE8D9"/>
              </a:solidFill>
              <a:ln>
                <a:solidFill>
                  <a:srgbClr val="EBE8D9"/>
                </a:solidFill>
                <a:prstDash val="solid"/>
              </a:ln>
            </c:spPr>
          </c:marker>
          <c:trendline>
            <c:spPr>
              <a:ln w="22225">
                <a:solidFill>
                  <a:srgbClr val="FF0000"/>
                </a:solidFill>
                <a:prstDash val="solid"/>
              </a:ln>
            </c:spPr>
            <c:trendlineType val="log"/>
            <c:dispRSqr val="0"/>
            <c:dispEq val="1"/>
            <c:trendlineLbl>
              <c:layout>
                <c:manualLayout>
                  <c:x val="-0.43201595127711839"/>
                  <c:y val="0.47045947077626971"/>
                </c:manualLayout>
              </c:layout>
              <c:numFmt formatCode="0.00000" sourceLinked="0"/>
              <c:spPr>
                <a:solidFill>
                  <a:sysClr val="window" lastClr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xVal>
            <c:numRef>
              <c:f>Cavitação!$H$24:$H$32</c:f>
              <c:numCache>
                <c:formatCode>0.00</c:formatCode>
                <c:ptCount val="9"/>
                <c:pt idx="0">
                  <c:v>0.2</c:v>
                </c:pt>
                <c:pt idx="1">
                  <c:v>0.3</c:v>
                </c:pt>
                <c:pt idx="2">
                  <c:v>0.4</c:v>
                </c:pt>
                <c:pt idx="3">
                  <c:v>0.5</c:v>
                </c:pt>
                <c:pt idx="4">
                  <c:v>0.6</c:v>
                </c:pt>
                <c:pt idx="5">
                  <c:v>0.7</c:v>
                </c:pt>
                <c:pt idx="6">
                  <c:v>0.8</c:v>
                </c:pt>
                <c:pt idx="7">
                  <c:v>0.9</c:v>
                </c:pt>
                <c:pt idx="8">
                  <c:v>1</c:v>
                </c:pt>
              </c:numCache>
            </c:numRef>
          </c:xVal>
          <c:yVal>
            <c:numRef>
              <c:f>Cavitação!$J$24:$J$32</c:f>
              <c:numCache>
                <c:formatCode>0.000</c:formatCode>
                <c:ptCount val="9"/>
                <c:pt idx="0">
                  <c:v>9.4786782620318796E-2</c:v>
                </c:pt>
                <c:pt idx="1">
                  <c:v>0.13735956070628016</c:v>
                </c:pt>
                <c:pt idx="2">
                  <c:v>0.16855738387754815</c:v>
                </c:pt>
                <c:pt idx="3">
                  <c:v>0.19155934247786444</c:v>
                </c:pt>
                <c:pt idx="4">
                  <c:v>0.21220117390898985</c:v>
                </c:pt>
                <c:pt idx="5">
                  <c:v>0.22912955700371002</c:v>
                </c:pt>
                <c:pt idx="6">
                  <c:v>0.2474084046077572</c:v>
                </c:pt>
                <c:pt idx="7">
                  <c:v>0.26039741642977321</c:v>
                </c:pt>
                <c:pt idx="8">
                  <c:v>0.27406835507792093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05-4771-BBE1-C87DD7FEF7B7}"/>
            </c:ext>
          </c:extLst>
        </c:ser>
        <c:ser>
          <c:idx val="2"/>
          <c:order val="2"/>
          <c:tx>
            <c:v>10,0%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EBE8D9"/>
              </a:solidFill>
              <a:ln>
                <a:solidFill>
                  <a:srgbClr val="EBE8D9"/>
                </a:solidFill>
                <a:prstDash val="solid"/>
              </a:ln>
            </c:spPr>
          </c:marker>
          <c:trendline>
            <c:spPr>
              <a:ln w="22225">
                <a:solidFill>
                  <a:srgbClr val="0000FF"/>
                </a:solidFill>
                <a:prstDash val="solid"/>
              </a:ln>
            </c:spPr>
            <c:trendlineType val="log"/>
            <c:dispRSqr val="0"/>
            <c:dispEq val="1"/>
            <c:trendlineLbl>
              <c:layout>
                <c:manualLayout>
                  <c:x val="-0.43201595127711839"/>
                  <c:y val="0.5798698898046305"/>
                </c:manualLayout>
              </c:layout>
              <c:numFmt formatCode="0.00000" sourceLinked="0"/>
              <c:spPr>
                <a:solidFill>
                  <a:schemeClr val="bg1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xVal>
            <c:numRef>
              <c:f>Cavitação!$H$24:$H$32</c:f>
              <c:numCache>
                <c:formatCode>0.00</c:formatCode>
                <c:ptCount val="9"/>
                <c:pt idx="0">
                  <c:v>0.2</c:v>
                </c:pt>
                <c:pt idx="1">
                  <c:v>0.3</c:v>
                </c:pt>
                <c:pt idx="2">
                  <c:v>0.4</c:v>
                </c:pt>
                <c:pt idx="3">
                  <c:v>0.5</c:v>
                </c:pt>
                <c:pt idx="4">
                  <c:v>0.6</c:v>
                </c:pt>
                <c:pt idx="5">
                  <c:v>0.7</c:v>
                </c:pt>
                <c:pt idx="6">
                  <c:v>0.8</c:v>
                </c:pt>
                <c:pt idx="7">
                  <c:v>0.9</c:v>
                </c:pt>
                <c:pt idx="8">
                  <c:v>1</c:v>
                </c:pt>
              </c:numCache>
            </c:numRef>
          </c:xVal>
          <c:yVal>
            <c:numRef>
              <c:f>Cavitação!$K$24:$K$32</c:f>
              <c:numCache>
                <c:formatCode>0.000</c:formatCode>
                <c:ptCount val="9"/>
                <c:pt idx="0">
                  <c:v>0.12086577404020521</c:v>
                </c:pt>
                <c:pt idx="1">
                  <c:v>0.17740669461678776</c:v>
                </c:pt>
                <c:pt idx="2">
                  <c:v>0.21493311735411386</c:v>
                </c:pt>
                <c:pt idx="3">
                  <c:v>0.2474084046077572</c:v>
                </c:pt>
                <c:pt idx="4">
                  <c:v>0.27058476327323183</c:v>
                </c:pt>
                <c:pt idx="5">
                  <c:v>0.29217070668675887</c:v>
                </c:pt>
                <c:pt idx="6">
                  <c:v>0.31547867224009668</c:v>
                </c:pt>
                <c:pt idx="7">
                  <c:v>0.3320413925317422</c:v>
                </c:pt>
                <c:pt idx="8">
                  <c:v>0.34947366036367428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205-4771-BBE1-C87DD7FEF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33311"/>
        <c:axId val="1"/>
      </c:scatterChart>
      <c:valAx>
        <c:axId val="275533311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 sz="1200">
                    <a:latin typeface="Symbol" panose="05050102010706020507" pitchFamily="18" charset="2"/>
                  </a:rPr>
                  <a:t>s</a:t>
                </a:r>
                <a:r>
                  <a:rPr lang="pt-BR" baseline="-25000"/>
                  <a:t>0,7R</a:t>
                </a:r>
              </a:p>
            </c:rich>
          </c:tx>
          <c:layout>
            <c:manualLayout>
              <c:xMode val="edge"/>
              <c:yMode val="edge"/>
              <c:x val="0.52846085096833972"/>
              <c:y val="0.9370055045202683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At val="0.01"/>
        <c:crossBetween val="midCat"/>
      </c:valAx>
      <c:valAx>
        <c:axId val="1"/>
        <c:scaling>
          <c:logBase val="10"/>
          <c:orientation val="minMax"/>
          <c:max val="1"/>
          <c:min val="0.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 sz="1200" b="1" i="0" u="none" strike="noStrike" baseline="0">
                    <a:solidFill>
                      <a:srgbClr val="000000"/>
                    </a:solidFill>
                    <a:latin typeface="Symbol" panose="05050102010706020507" pitchFamily="18" charset="2"/>
                    <a:cs typeface="Arial"/>
                  </a:rPr>
                  <a:t>t</a:t>
                </a:r>
                <a:r>
                  <a:rPr lang="pt-BR" sz="9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c</a:t>
                </a:r>
              </a:p>
            </c:rich>
          </c:tx>
          <c:layout>
            <c:manualLayout>
              <c:xMode val="edge"/>
              <c:yMode val="edge"/>
              <c:x val="3.4581393437533574E-2"/>
              <c:y val="0.4715018955963837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5533311"/>
        <c:crossesAt val="0.1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12975349078189338"/>
          <c:y val="0.69392880577427818"/>
          <c:w val="0.17870275879783698"/>
          <c:h val="0.1783436992554918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3F3F1"/>
    </a:solidFill>
    <a:ln w="12700">
      <a:noFill/>
      <a:prstDash val="solid"/>
    </a:ln>
  </c:spPr>
  <c:txPr>
    <a:bodyPr/>
    <a:lstStyle/>
    <a:p>
      <a:pPr>
        <a:defRPr sz="1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259871020564684E-2"/>
          <c:y val="5.2188552188552187E-2"/>
          <c:w val="0.87865683127220151"/>
          <c:h val="0.84175084175084181"/>
        </c:manualLayout>
      </c:layout>
      <c:scatterChart>
        <c:scatterStyle val="lineMarker"/>
        <c:varyColors val="0"/>
        <c:ser>
          <c:idx val="0"/>
          <c:order val="0"/>
          <c:tx>
            <c:v>KT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6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Principal!$D$24:$D$39</c:f>
              <c:numCache>
                <c:formatCode>0.000</c:formatCode>
                <c:ptCount val="16"/>
                <c:pt idx="0">
                  <c:v>1E-3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Principal!$E$24:$E$39</c:f>
              <c:numCache>
                <c:formatCode>0.0000</c:formatCode>
                <c:ptCount val="16"/>
                <c:pt idx="0">
                  <c:v>0.33844746925420105</c:v>
                </c:pt>
                <c:pt idx="1">
                  <c:v>0.31987344953682401</c:v>
                </c:pt>
                <c:pt idx="2">
                  <c:v>0.29793027242507597</c:v>
                </c:pt>
                <c:pt idx="3">
                  <c:v>0.27301946638797048</c:v>
                </c:pt>
                <c:pt idx="4">
                  <c:v>0.24537170007261555</c:v>
                </c:pt>
                <c:pt idx="5">
                  <c:v>0.21521764212611913</c:v>
                </c:pt>
                <c:pt idx="6">
                  <c:v>0.18278796119558849</c:v>
                </c:pt>
                <c:pt idx="7">
                  <c:v>0.1483133259281314</c:v>
                </c:pt>
                <c:pt idx="8">
                  <c:v>0.1120244049708555</c:v>
                </c:pt>
                <c:pt idx="9">
                  <c:v>7.4151866970868813E-2</c:v>
                </c:pt>
                <c:pt idx="10">
                  <c:v>3.4926380575278873E-2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E2-4821-B5FB-7EDB2FBFF04E}"/>
            </c:ext>
          </c:extLst>
        </c:ser>
        <c:ser>
          <c:idx val="1"/>
          <c:order val="1"/>
          <c:tx>
            <c:v>10 KQ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quare"/>
            <c:size val="6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Principal!$D$24:$D$39</c:f>
              <c:numCache>
                <c:formatCode>0.000</c:formatCode>
                <c:ptCount val="16"/>
                <c:pt idx="0">
                  <c:v>1E-3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Principal!$F$24:$F$39</c:f>
              <c:numCache>
                <c:formatCode>0.0000</c:formatCode>
                <c:ptCount val="16"/>
                <c:pt idx="0">
                  <c:v>0.42302322954830968</c:v>
                </c:pt>
                <c:pt idx="1">
                  <c:v>0.40265646418964468</c:v>
                </c:pt>
                <c:pt idx="2">
                  <c:v>0.3806486015915983</c:v>
                </c:pt>
                <c:pt idx="3">
                  <c:v>0.35664508908166975</c:v>
                </c:pt>
                <c:pt idx="4">
                  <c:v>0.33009101229651566</c:v>
                </c:pt>
                <c:pt idx="5">
                  <c:v>0.30043145687279305</c:v>
                </c:pt>
                <c:pt idx="6">
                  <c:v>0.26711150844715914</c:v>
                </c:pt>
                <c:pt idx="7">
                  <c:v>0.22957625265627107</c:v>
                </c:pt>
                <c:pt idx="8">
                  <c:v>0.18727077513678542</c:v>
                </c:pt>
                <c:pt idx="9">
                  <c:v>0.13964016152535977</c:v>
                </c:pt>
                <c:pt idx="10">
                  <c:v>8.6129497458650589E-2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E2-4821-B5FB-7EDB2FBFF0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34559"/>
        <c:axId val="1"/>
      </c:scatterChart>
      <c:valAx>
        <c:axId val="275534559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 sz="1200"/>
                  <a:t>J</a:t>
                </a:r>
              </a:p>
            </c:rich>
          </c:tx>
          <c:layout>
            <c:manualLayout>
              <c:xMode val="edge"/>
              <c:yMode val="edge"/>
              <c:x val="0.51666666666666672"/>
              <c:y val="0.9444443068211978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 sz="1200"/>
                  <a:t>K</a:t>
                </a:r>
                <a:r>
                  <a:rPr lang="pt-BR" sz="1200" baseline="-25000"/>
                  <a:t>T</a:t>
                </a:r>
                <a:r>
                  <a:rPr lang="pt-BR" sz="1200"/>
                  <a:t>, 10 K</a:t>
                </a:r>
                <a:r>
                  <a:rPr lang="pt-BR" sz="1200" baseline="-25000"/>
                  <a:t>Q</a:t>
                </a:r>
              </a:p>
            </c:rich>
          </c:tx>
          <c:layout>
            <c:manualLayout>
              <c:xMode val="edge"/>
              <c:yMode val="edge"/>
              <c:x val="1.04167760279965E-2"/>
              <c:y val="0.4175084490843138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5534559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613820505638389"/>
          <c:y val="0.11843235504652827"/>
          <c:w val="0.10993868849397778"/>
          <c:h val="0.1414141378395116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zoomScale="55" workbookViewId="0"/>
  </sheetViews>
  <pageMargins left="0.78740157499999996" right="0.78740157499999996" top="0.984251969" bottom="0.984251969" header="0.49212598499999999" footer="0.49212598499999999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429895</xdr:colOff>
      <xdr:row>4</xdr:row>
      <xdr:rowOff>177800</xdr:rowOff>
    </xdr:from>
    <xdr:to>
      <xdr:col>14</xdr:col>
      <xdr:colOff>512445</xdr:colOff>
      <xdr:row>6</xdr:row>
      <xdr:rowOff>1094</xdr:rowOff>
    </xdr:to>
    <xdr:sp macro="[0]!Executar" textlink="">
      <xdr:nvSpPr>
        <xdr:cNvPr id="3087" name="AutoShape 15">
          <a:extLst>
            <a:ext uri="{FF2B5EF4-FFF2-40B4-BE49-F238E27FC236}">
              <a16:creationId xmlns:a16="http://schemas.microsoft.com/office/drawing/2014/main" id="{B968F192-1123-4015-BC15-3BF91E9A9716}"/>
            </a:ext>
          </a:extLst>
        </xdr:cNvPr>
        <xdr:cNvSpPr>
          <a:spLocks noChangeArrowheads="1"/>
        </xdr:cNvSpPr>
      </xdr:nvSpPr>
      <xdr:spPr bwMode="auto">
        <a:xfrm>
          <a:off x="8256270" y="1362075"/>
          <a:ext cx="733425" cy="200025"/>
        </a:xfrm>
        <a:prstGeom prst="roundRect">
          <a:avLst>
            <a:gd name="adj" fmla="val 13634"/>
          </a:avLst>
        </a:prstGeom>
        <a:solidFill>
          <a:srgbClr val="FF9933"/>
        </a:solidFill>
        <a:ln w="6350">
          <a:solidFill>
            <a:schemeClr val="tx1">
              <a:lumMod val="75000"/>
              <a:lumOff val="25000"/>
            </a:schemeClr>
          </a:solidFill>
          <a:round/>
          <a:headEnd/>
          <a:tailEnd/>
        </a:ln>
        <a:effectLst/>
      </xdr:spPr>
      <xdr:txBody>
        <a:bodyPr vertOverflow="clip" wrap="square" lIns="27432" tIns="18288" rIns="27432" bIns="18288" anchor="ctr" upright="1"/>
        <a:lstStyle/>
        <a:p>
          <a:pPr algn="ctr" rtl="1">
            <a:defRPr sz="1000"/>
          </a:pPr>
          <a:r>
            <a:rPr lang="pt-BR" sz="1000" b="1" i="0" strike="noStrike">
              <a:solidFill>
                <a:srgbClr val="FFFFFF"/>
              </a:solidFill>
              <a:latin typeface="+mn-lt"/>
            </a:rPr>
            <a:t>Executar</a:t>
          </a:r>
        </a:p>
      </xdr:txBody>
    </xdr:sp>
    <xdr:clientData/>
  </xdr:twoCellAnchor>
  <xdr:twoCellAnchor>
    <xdr:from>
      <xdr:col>2</xdr:col>
      <xdr:colOff>85725</xdr:colOff>
      <xdr:row>3</xdr:row>
      <xdr:rowOff>19050</xdr:rowOff>
    </xdr:from>
    <xdr:to>
      <xdr:col>4</xdr:col>
      <xdr:colOff>306375</xdr:colOff>
      <xdr:row>6</xdr:row>
      <xdr:rowOff>108450</xdr:rowOff>
    </xdr:to>
    <xdr:grpSp>
      <xdr:nvGrpSpPr>
        <xdr:cNvPr id="78675" name="Group 107">
          <a:extLst>
            <a:ext uri="{FF2B5EF4-FFF2-40B4-BE49-F238E27FC236}">
              <a16:creationId xmlns:a16="http://schemas.microsoft.com/office/drawing/2014/main" id="{D69FEC83-8094-41CB-93DF-B2215CA51621}"/>
            </a:ext>
          </a:extLst>
        </xdr:cNvPr>
        <xdr:cNvGrpSpPr>
          <a:grpSpLocks/>
        </xdr:cNvGrpSpPr>
      </xdr:nvGrpSpPr>
      <xdr:grpSpPr bwMode="auto">
        <a:xfrm>
          <a:off x="451485" y="590550"/>
          <a:ext cx="1135050" cy="1080000"/>
          <a:chOff x="55" y="47"/>
          <a:chExt cx="106" cy="106"/>
        </a:xfrm>
      </xdr:grpSpPr>
      <xdr:sp macro="" textlink="">
        <xdr:nvSpPr>
          <xdr:cNvPr id="78676" name="Rectangle 104">
            <a:extLst>
              <a:ext uri="{FF2B5EF4-FFF2-40B4-BE49-F238E27FC236}">
                <a16:creationId xmlns:a16="http://schemas.microsoft.com/office/drawing/2014/main" id="{B1B777C3-ED3D-4716-B0E1-E067615C4BEC}"/>
              </a:ext>
            </a:extLst>
          </xdr:cNvPr>
          <xdr:cNvSpPr>
            <a:spLocks noChangeArrowheads="1"/>
          </xdr:cNvSpPr>
        </xdr:nvSpPr>
        <xdr:spPr bwMode="auto">
          <a:xfrm>
            <a:off x="63" y="55"/>
            <a:ext cx="98" cy="98"/>
          </a:xfrm>
          <a:prstGeom prst="rect">
            <a:avLst/>
          </a:prstGeom>
          <a:solidFill>
            <a:srgbClr val="96969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pic>
        <xdr:nvPicPr>
          <xdr:cNvPr id="78677" name="Picture 105" descr="prop">
            <a:extLst>
              <a:ext uri="{FF2B5EF4-FFF2-40B4-BE49-F238E27FC236}">
                <a16:creationId xmlns:a16="http://schemas.microsoft.com/office/drawing/2014/main" id="{4EDDAD87-F9F2-4AAF-BD60-BB31E25E6263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" y="47"/>
            <a:ext cx="98" cy="9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2</xdr:col>
      <xdr:colOff>95251</xdr:colOff>
      <xdr:row>21</xdr:row>
      <xdr:rowOff>57149</xdr:rowOff>
    </xdr:from>
    <xdr:to>
      <xdr:col>11</xdr:col>
      <xdr:colOff>390151</xdr:colOff>
      <xdr:row>21</xdr:row>
      <xdr:rowOff>57149</xdr:rowOff>
    </xdr:to>
    <xdr:sp macro="" textlink="">
      <xdr:nvSpPr>
        <xdr:cNvPr id="58" name="Line 37">
          <a:extLst>
            <a:ext uri="{FF2B5EF4-FFF2-40B4-BE49-F238E27FC236}">
              <a16:creationId xmlns:a16="http://schemas.microsoft.com/office/drawing/2014/main" id="{6E76B92E-323E-43C9-83AA-5CAC61941AAF}"/>
            </a:ext>
          </a:extLst>
        </xdr:cNvPr>
        <xdr:cNvSpPr>
          <a:spLocks noChangeShapeType="1"/>
        </xdr:cNvSpPr>
      </xdr:nvSpPr>
      <xdr:spPr bwMode="auto">
        <a:xfrm>
          <a:off x="457201" y="4476749"/>
          <a:ext cx="6048000" cy="0"/>
        </a:xfrm>
        <a:prstGeom prst="line">
          <a:avLst/>
        </a:prstGeom>
        <a:noFill/>
        <a:ln w="9525">
          <a:solidFill>
            <a:schemeClr val="tx1">
              <a:lumMod val="65000"/>
              <a:lumOff val="35000"/>
            </a:schemeClr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pt-BR"/>
        </a:p>
      </xdr:txBody>
    </xdr:sp>
    <xdr:clientData/>
  </xdr:twoCellAnchor>
  <xdr:oneCellAnchor>
    <xdr:from>
      <xdr:col>6</xdr:col>
      <xdr:colOff>419100</xdr:colOff>
      <xdr:row>35</xdr:row>
      <xdr:rowOff>180975</xdr:rowOff>
    </xdr:from>
    <xdr:ext cx="184731" cy="264560"/>
    <xdr:sp macro="" textlink="">
      <xdr:nvSpPr>
        <xdr:cNvPr id="64" name="CaixaDeTexto 63">
          <a:extLst>
            <a:ext uri="{FF2B5EF4-FFF2-40B4-BE49-F238E27FC236}">
              <a16:creationId xmlns:a16="http://schemas.microsoft.com/office/drawing/2014/main" id="{FC1CC055-5290-47BD-B24C-26CA92D00AEB}"/>
            </a:ext>
          </a:extLst>
        </xdr:cNvPr>
        <xdr:cNvSpPr txBox="1"/>
      </xdr:nvSpPr>
      <xdr:spPr>
        <a:xfrm>
          <a:off x="11477625" y="4552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3</xdr:col>
      <xdr:colOff>9525</xdr:colOff>
      <xdr:row>9</xdr:row>
      <xdr:rowOff>38100</xdr:rowOff>
    </xdr:from>
    <xdr:to>
      <xdr:col>14</xdr:col>
      <xdr:colOff>426075</xdr:colOff>
      <xdr:row>9</xdr:row>
      <xdr:rowOff>38100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3E157556-0DAD-49FC-B13B-48CEC9ABC9C7}"/>
            </a:ext>
          </a:extLst>
        </xdr:cNvPr>
        <xdr:cNvCxnSpPr/>
      </xdr:nvCxnSpPr>
      <xdr:spPr bwMode="auto">
        <a:xfrm flipV="1">
          <a:off x="552450" y="2171700"/>
          <a:ext cx="820800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542923</xdr:colOff>
      <xdr:row>4</xdr:row>
      <xdr:rowOff>57150</xdr:rowOff>
    </xdr:from>
    <xdr:to>
      <xdr:col>13</xdr:col>
      <xdr:colOff>306673</xdr:colOff>
      <xdr:row>4</xdr:row>
      <xdr:rowOff>57150</xdr:rowOff>
    </xdr:to>
    <xdr:cxnSp macro="">
      <xdr:nvCxnSpPr>
        <xdr:cNvPr id="70" name="Conector reto 69">
          <a:extLst>
            <a:ext uri="{FF2B5EF4-FFF2-40B4-BE49-F238E27FC236}">
              <a16:creationId xmlns:a16="http://schemas.microsoft.com/office/drawing/2014/main" id="{CD81D257-CB58-46EB-9CC0-4A4A2C027AFE}"/>
            </a:ext>
          </a:extLst>
        </xdr:cNvPr>
        <xdr:cNvCxnSpPr/>
      </xdr:nvCxnSpPr>
      <xdr:spPr bwMode="auto">
        <a:xfrm flipV="1">
          <a:off x="1800223" y="1238250"/>
          <a:ext cx="6336000" cy="0"/>
        </a:xfrm>
        <a:prstGeom prst="line">
          <a:avLst/>
        </a:prstGeom>
        <a:solidFill>
          <a:srgbClr val="FFFFFF"/>
        </a:solidFill>
        <a:ln w="12700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 editAs="oneCell">
    <xdr:from>
      <xdr:col>22</xdr:col>
      <xdr:colOff>552453</xdr:colOff>
      <xdr:row>3</xdr:row>
      <xdr:rowOff>33336</xdr:rowOff>
    </xdr:from>
    <xdr:to>
      <xdr:col>23</xdr:col>
      <xdr:colOff>638728</xdr:colOff>
      <xdr:row>6</xdr:row>
      <xdr:rowOff>125911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7E1F5C1C-2329-414B-B31B-015A4567D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6878" y="604836"/>
          <a:ext cx="730800" cy="1080000"/>
        </a:xfrm>
        <a:prstGeom prst="rect">
          <a:avLst/>
        </a:prstGeom>
      </xdr:spPr>
    </xdr:pic>
    <xdr:clientData/>
  </xdr:twoCellAnchor>
  <xdr:twoCellAnchor>
    <xdr:from>
      <xdr:col>20</xdr:col>
      <xdr:colOff>212973</xdr:colOff>
      <xdr:row>14</xdr:row>
      <xdr:rowOff>120676</xdr:rowOff>
    </xdr:from>
    <xdr:to>
      <xdr:col>22</xdr:col>
      <xdr:colOff>410513</xdr:colOff>
      <xdr:row>17</xdr:row>
      <xdr:rowOff>89176</xdr:rowOff>
    </xdr:to>
    <xdr:pic>
      <xdr:nvPicPr>
        <xdr:cNvPr id="72" name="Shape 6">
          <a:extLst>
            <a:ext uri="{FF2B5EF4-FFF2-40B4-BE49-F238E27FC236}">
              <a16:creationId xmlns:a16="http://schemas.microsoft.com/office/drawing/2014/main" id="{69FDC344-3B27-485F-A42A-3BDE69D3B7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alphaModFix/>
        </a:blip>
        <a:srcRect b="5769"/>
        <a:stretch/>
      </xdr:blipFill>
      <xdr:spPr>
        <a:xfrm>
          <a:off x="11566773" y="3206776"/>
          <a:ext cx="1492940" cy="54000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16</xdr:col>
      <xdr:colOff>228600</xdr:colOff>
      <xdr:row>9</xdr:row>
      <xdr:rowOff>9525</xdr:rowOff>
    </xdr:from>
    <xdr:to>
      <xdr:col>23</xdr:col>
      <xdr:colOff>463350</xdr:colOff>
      <xdr:row>9</xdr:row>
      <xdr:rowOff>9525</xdr:rowOff>
    </xdr:to>
    <xdr:sp macro="" textlink="">
      <xdr:nvSpPr>
        <xdr:cNvPr id="73" name="Line 37">
          <a:extLst>
            <a:ext uri="{FF2B5EF4-FFF2-40B4-BE49-F238E27FC236}">
              <a16:creationId xmlns:a16="http://schemas.microsoft.com/office/drawing/2014/main" id="{826EA644-F14F-42C0-8928-10713CB0D678}"/>
            </a:ext>
          </a:extLst>
        </xdr:cNvPr>
        <xdr:cNvSpPr>
          <a:spLocks noChangeShapeType="1"/>
        </xdr:cNvSpPr>
      </xdr:nvSpPr>
      <xdr:spPr bwMode="auto">
        <a:xfrm>
          <a:off x="8753475" y="6334125"/>
          <a:ext cx="4368600" cy="0"/>
        </a:xfrm>
        <a:prstGeom prst="line">
          <a:avLst/>
        </a:prstGeom>
        <a:noFill/>
        <a:ln w="9525">
          <a:solidFill>
            <a:schemeClr val="tx1">
              <a:lumMod val="65000"/>
              <a:lumOff val="35000"/>
            </a:schemeClr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pt-BR"/>
        </a:p>
      </xdr:txBody>
    </xdr:sp>
    <xdr:clientData/>
  </xdr:twoCellAnchor>
  <xdr:oneCellAnchor>
    <xdr:from>
      <xdr:col>17</xdr:col>
      <xdr:colOff>257175</xdr:colOff>
      <xdr:row>14</xdr:row>
      <xdr:rowOff>76200</xdr:rowOff>
    </xdr:from>
    <xdr:ext cx="1591200" cy="612000"/>
    <xdr:pic>
      <xdr:nvPicPr>
        <xdr:cNvPr id="74" name="Imagem 73">
          <a:extLst>
            <a:ext uri="{FF2B5EF4-FFF2-40B4-BE49-F238E27FC236}">
              <a16:creationId xmlns:a16="http://schemas.microsoft.com/office/drawing/2014/main" id="{BF0288D4-E58A-436B-822B-538D4AFA9D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19" t="20429" r="7465" b="15728"/>
        <a:stretch/>
      </xdr:blipFill>
      <xdr:spPr>
        <a:xfrm>
          <a:off x="9667875" y="3162300"/>
          <a:ext cx="1591200" cy="612000"/>
        </a:xfrm>
        <a:prstGeom prst="rect">
          <a:avLst/>
        </a:prstGeom>
      </xdr:spPr>
    </xdr:pic>
    <xdr:clientData/>
  </xdr:oneCellAnchor>
  <xdr:twoCellAnchor>
    <xdr:from>
      <xdr:col>17</xdr:col>
      <xdr:colOff>2359</xdr:colOff>
      <xdr:row>9</xdr:row>
      <xdr:rowOff>107054</xdr:rowOff>
    </xdr:from>
    <xdr:to>
      <xdr:col>17</xdr:col>
      <xdr:colOff>576139</xdr:colOff>
      <xdr:row>12</xdr:row>
      <xdr:rowOff>71386</xdr:rowOff>
    </xdr:to>
    <xdr:grpSp>
      <xdr:nvGrpSpPr>
        <xdr:cNvPr id="75" name="Agrupar 74">
          <a:extLst>
            <a:ext uri="{FF2B5EF4-FFF2-40B4-BE49-F238E27FC236}">
              <a16:creationId xmlns:a16="http://schemas.microsoft.com/office/drawing/2014/main" id="{2498D6FD-2E81-425E-8335-3648CD541423}"/>
            </a:ext>
          </a:extLst>
        </xdr:cNvPr>
        <xdr:cNvGrpSpPr/>
      </xdr:nvGrpSpPr>
      <xdr:grpSpPr>
        <a:xfrm>
          <a:off x="9778819" y="2240654"/>
          <a:ext cx="573780" cy="535832"/>
          <a:chOff x="12517099" y="3115882"/>
          <a:chExt cx="576000" cy="576076"/>
        </a:xfrm>
      </xdr:grpSpPr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CA834AB4-284B-4B49-96D4-1DA0006793B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rightnessContrast bright="40000" contrast="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2617" b="2617"/>
          <a:stretch/>
        </xdr:blipFill>
        <xdr:spPr bwMode="auto">
          <a:xfrm>
            <a:off x="12518477" y="3117020"/>
            <a:ext cx="573244" cy="573801"/>
          </a:xfrm>
          <a:prstGeom prst="rect">
            <a:avLst/>
          </a:prstGeom>
          <a:noFill/>
          <a:ln>
            <a:noFill/>
          </a:ln>
          <a:extLst>
            <a:ext uri="{53640926-AAD7-44D8-BBD7-CCE9431645EC}">
              <a14:shadowObscured xmlns:a14="http://schemas.microsoft.com/office/drawing/2010/main"/>
            </a:ext>
          </a:extLst>
        </xdr:spPr>
      </xdr:pic>
      <xdr:sp macro="" textlink="">
        <xdr:nvSpPr>
          <xdr:cNvPr id="77" name="Retângulo: Cantos Arredondados 76">
            <a:extLst>
              <a:ext uri="{FF2B5EF4-FFF2-40B4-BE49-F238E27FC236}">
                <a16:creationId xmlns:a16="http://schemas.microsoft.com/office/drawing/2014/main" id="{9CF01730-C2A1-40A1-AABD-D291701AEEF7}"/>
              </a:ext>
            </a:extLst>
          </xdr:cNvPr>
          <xdr:cNvSpPr/>
        </xdr:nvSpPr>
        <xdr:spPr>
          <a:xfrm>
            <a:off x="12518209" y="3116954"/>
            <a:ext cx="573780" cy="573932"/>
          </a:xfrm>
          <a:prstGeom prst="roundRect">
            <a:avLst/>
          </a:prstGeom>
          <a:noFill/>
          <a:ln w="8255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endParaRPr lang="pt-BR"/>
          </a:p>
        </xdr:txBody>
      </xdr:sp>
    </xdr:grpSp>
    <xdr:clientData/>
  </xdr:twoCellAnchor>
  <xdr:oneCellAnchor>
    <xdr:from>
      <xdr:col>20</xdr:col>
      <xdr:colOff>419100</xdr:colOff>
      <xdr:row>16</xdr:row>
      <xdr:rowOff>180975</xdr:rowOff>
    </xdr:from>
    <xdr:ext cx="184731" cy="264560"/>
    <xdr:sp macro="" textlink="">
      <xdr:nvSpPr>
        <xdr:cNvPr id="78" name="CaixaDeTexto 77">
          <a:extLst>
            <a:ext uri="{FF2B5EF4-FFF2-40B4-BE49-F238E27FC236}">
              <a16:creationId xmlns:a16="http://schemas.microsoft.com/office/drawing/2014/main" id="{8267D463-8E0E-4BF7-B182-53370232AFED}"/>
            </a:ext>
          </a:extLst>
        </xdr:cNvPr>
        <xdr:cNvSpPr txBox="1"/>
      </xdr:nvSpPr>
      <xdr:spPr>
        <a:xfrm>
          <a:off x="11134725" y="7839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absoluteAnchor>
    <xdr:pos x="7334251" y="4152900"/>
    <xdr:ext cx="5791200" cy="3762375"/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C5A6CDC6-58F9-4086-8E8F-128D40FD408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514351</xdr:colOff>
      <xdr:row>4</xdr:row>
      <xdr:rowOff>9525</xdr:rowOff>
    </xdr:from>
    <xdr:to>
      <xdr:col>24</xdr:col>
      <xdr:colOff>9525</xdr:colOff>
      <xdr:row>32</xdr:row>
      <xdr:rowOff>161925</xdr:rowOff>
    </xdr:to>
    <xdr:graphicFrame macro="">
      <xdr:nvGraphicFramePr>
        <xdr:cNvPr id="7251" name="Chart 1">
          <a:extLst>
            <a:ext uri="{FF2B5EF4-FFF2-40B4-BE49-F238E27FC236}">
              <a16:creationId xmlns:a16="http://schemas.microsoft.com/office/drawing/2014/main" id="{F6BF8D67-CC87-4420-89E4-358758479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28909" cy="599901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FA50243-1C1F-435C-9174-7AB1F190FA3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823912</xdr:colOff>
      <xdr:row>2</xdr:row>
      <xdr:rowOff>76198</xdr:rowOff>
    </xdr:from>
    <xdr:to>
      <xdr:col>12</xdr:col>
      <xdr:colOff>706987</xdr:colOff>
      <xdr:row>6</xdr:row>
      <xdr:rowOff>98923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F341FF1-6D46-40D5-A805-BFDA4C0CF3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5312" y="457198"/>
          <a:ext cx="730800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2</xdr:row>
      <xdr:rowOff>76200</xdr:rowOff>
    </xdr:from>
    <xdr:to>
      <xdr:col>3</xdr:col>
      <xdr:colOff>1200150</xdr:colOff>
      <xdr:row>6</xdr:row>
      <xdr:rowOff>57150</xdr:rowOff>
    </xdr:to>
    <xdr:grpSp>
      <xdr:nvGrpSpPr>
        <xdr:cNvPr id="3" name="Group 1">
          <a:extLst>
            <a:ext uri="{FF2B5EF4-FFF2-40B4-BE49-F238E27FC236}">
              <a16:creationId xmlns:a16="http://schemas.microsoft.com/office/drawing/2014/main" id="{E79E3AEF-5CF7-4E9F-8DE0-497129AA8701}"/>
            </a:ext>
          </a:extLst>
        </xdr:cNvPr>
        <xdr:cNvGrpSpPr>
          <a:grpSpLocks noChangeAspect="1"/>
        </xdr:cNvGrpSpPr>
      </xdr:nvGrpSpPr>
      <xdr:grpSpPr bwMode="auto">
        <a:xfrm>
          <a:off x="371475" y="457200"/>
          <a:ext cx="1371600" cy="1038225"/>
          <a:chOff x="40" y="44"/>
          <a:chExt cx="151" cy="114"/>
        </a:xfrm>
      </xdr:grpSpPr>
      <xdr:sp macro="" textlink="">
        <xdr:nvSpPr>
          <xdr:cNvPr id="4" name="Rectangle 2">
            <a:extLst>
              <a:ext uri="{FF2B5EF4-FFF2-40B4-BE49-F238E27FC236}">
                <a16:creationId xmlns:a16="http://schemas.microsoft.com/office/drawing/2014/main" id="{E67D77DD-2C80-48FB-B9D3-30025F9A8165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0" y="44"/>
            <a:ext cx="151" cy="114"/>
          </a:xfrm>
          <a:prstGeom prst="rect">
            <a:avLst/>
          </a:prstGeom>
          <a:solidFill>
            <a:srgbClr val="DDDDDD"/>
          </a:solidFill>
          <a:ln>
            <a:noFill/>
          </a:ln>
          <a:effectLst>
            <a:outerShdw dist="107763" dir="2700000" algn="ctr" rotWithShape="0">
              <a:srgbClr val="808080">
                <a:alpha val="50000"/>
              </a:srgb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pic>
        <xdr:nvPicPr>
          <xdr:cNvPr id="5" name="Picture 3" descr="machiner">
            <a:extLst>
              <a:ext uri="{FF2B5EF4-FFF2-40B4-BE49-F238E27FC236}">
                <a16:creationId xmlns:a16="http://schemas.microsoft.com/office/drawing/2014/main" id="{E9AC1E95-DBCE-4A56-94BF-A65C47A2C2E4}"/>
              </a:ext>
            </a:extLst>
          </xdr:cNvPr>
          <xdr:cNvPicPr preferRelativeResize="0"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" y="51"/>
            <a:ext cx="140" cy="1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3</xdr:col>
      <xdr:colOff>1438273</xdr:colOff>
      <xdr:row>4</xdr:row>
      <xdr:rowOff>19050</xdr:rowOff>
    </xdr:from>
    <xdr:to>
      <xdr:col>8</xdr:col>
      <xdr:colOff>636598</xdr:colOff>
      <xdr:row>4</xdr:row>
      <xdr:rowOff>19050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8B3B888D-84FF-4501-93AF-F22012023400}"/>
            </a:ext>
          </a:extLst>
        </xdr:cNvPr>
        <xdr:cNvCxnSpPr/>
      </xdr:nvCxnSpPr>
      <xdr:spPr>
        <a:xfrm>
          <a:off x="1981198" y="1171575"/>
          <a:ext cx="3503625" cy="0"/>
        </a:xfrm>
        <a:prstGeom prst="line">
          <a:avLst/>
        </a:prstGeom>
        <a:ln w="1270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oliufrjbr.sharepoint.com/Ensino/Disciplinas/Hidro%20III/Programas/Sele&#231;&#227;oB%20-%20xxxxx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oliufrjbr.sharepoint.com/P&amp;D/Propuls&#227;o/Estima/H&#233;liceB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Seleção"/>
      <sheetName val="Hélice"/>
      <sheetName val="Cavitação"/>
      <sheetName val="CurvaCH"/>
      <sheetName val="kW x N"/>
      <sheetName val="Propriedades"/>
    </sheetNames>
    <sheetDataSet>
      <sheetData sheetId="0"/>
      <sheetData sheetId="1"/>
      <sheetData sheetId="2"/>
      <sheetData sheetId="3"/>
      <sheetData sheetId="4"/>
      <sheetData sheetId="5" refreshError="1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ados"/>
      <sheetName val="Dados"/>
      <sheetName val="Cálculo"/>
      <sheetName val="Cavitação"/>
      <sheetName val="BHP x N"/>
      <sheetName val="Propriedades"/>
    </sheetNames>
    <sheetDataSet>
      <sheetData sheetId="0"/>
      <sheetData sheetId="1"/>
      <sheetData sheetId="2"/>
      <sheetData sheetId="3"/>
      <sheetData sheetId="4" refreshError="1"/>
      <sheetData sheetId="5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B1:AK60"/>
  <sheetViews>
    <sheetView showGridLines="0" tabSelected="1" topLeftCell="A13" zoomScaleNormal="100" workbookViewId="0">
      <selection activeCell="F16" sqref="F16"/>
    </sheetView>
  </sheetViews>
  <sheetFormatPr defaultRowHeight="12.75" customHeight="1"/>
  <cols>
    <col min="1" max="1" width="3.6640625" customWidth="1"/>
    <col min="2" max="2" width="1.6640625" customWidth="1"/>
    <col min="3" max="3" width="2.6640625" customWidth="1"/>
    <col min="4" max="4" width="10.6640625" customWidth="1"/>
    <col min="5" max="8" width="9.6640625" customWidth="1"/>
    <col min="9" max="9" width="16.6640625" customWidth="1"/>
    <col min="10" max="12" width="9.6640625" customWidth="1"/>
    <col min="13" max="13" width="13.88671875" customWidth="1"/>
    <col min="14" max="15" width="9.6640625" customWidth="1"/>
    <col min="16" max="16" width="2.6640625" customWidth="1"/>
    <col min="17" max="17" width="3.6640625" customWidth="1"/>
    <col min="18" max="20" width="9.6640625" customWidth="1"/>
    <col min="21" max="21" width="8.109375" customWidth="1"/>
    <col min="22" max="24" width="9.6640625" customWidth="1"/>
    <col min="25" max="25" width="1.6640625" customWidth="1"/>
    <col min="26" max="26" width="9.6640625" customWidth="1"/>
    <col min="33" max="33" width="11.44140625" customWidth="1"/>
  </cols>
  <sheetData>
    <row r="1" spans="2:37" ht="15" customHeight="1" thickBot="1"/>
    <row r="2" spans="2:37" ht="15" customHeight="1" thickBot="1">
      <c r="B2" s="142"/>
      <c r="C2" s="143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5"/>
    </row>
    <row r="3" spans="2:37" ht="15" customHeight="1">
      <c r="B3" s="146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52"/>
    </row>
    <row r="4" spans="2:37" ht="48" customHeight="1">
      <c r="B4" s="147"/>
      <c r="C4" s="100"/>
      <c r="D4" s="100"/>
      <c r="E4" s="100"/>
      <c r="F4" s="101" t="s">
        <v>0</v>
      </c>
      <c r="G4" s="100"/>
      <c r="H4" s="102"/>
      <c r="I4" s="103"/>
      <c r="J4" s="103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0"/>
      <c r="Y4" s="153"/>
    </row>
    <row r="5" spans="2:37" ht="15" customHeight="1">
      <c r="B5" s="147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53"/>
    </row>
    <row r="6" spans="2:37" ht="15" customHeight="1">
      <c r="B6" s="147"/>
      <c r="C6" s="100"/>
      <c r="D6" s="100"/>
      <c r="E6" s="100"/>
      <c r="F6" s="112" t="s">
        <v>1</v>
      </c>
      <c r="G6" s="100"/>
      <c r="H6" s="100"/>
      <c r="I6" s="100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4"/>
      <c r="X6" s="100"/>
      <c r="Y6" s="153"/>
    </row>
    <row r="7" spans="2:37" ht="15" customHeight="1">
      <c r="B7" s="147"/>
      <c r="C7" s="100"/>
      <c r="D7" s="100"/>
      <c r="E7" s="100"/>
      <c r="F7" s="100"/>
      <c r="G7" s="100"/>
      <c r="H7" s="100"/>
      <c r="I7" s="100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0"/>
      <c r="Y7" s="153"/>
    </row>
    <row r="8" spans="2:37" ht="15" customHeight="1">
      <c r="B8" s="147"/>
      <c r="C8" s="189"/>
      <c r="D8" s="190"/>
      <c r="E8" s="191"/>
      <c r="F8" s="191"/>
      <c r="G8" s="191"/>
      <c r="H8" s="191"/>
      <c r="I8" s="190"/>
      <c r="J8" s="190"/>
      <c r="K8" s="190"/>
      <c r="L8" s="190"/>
      <c r="M8" s="190"/>
      <c r="N8" s="190"/>
      <c r="O8" s="192"/>
      <c r="P8" s="127"/>
      <c r="Q8" s="131"/>
      <c r="R8" s="114"/>
      <c r="S8" s="114"/>
      <c r="T8" s="114"/>
      <c r="U8" s="114"/>
      <c r="V8" s="114"/>
      <c r="W8" s="114"/>
      <c r="X8" s="116"/>
      <c r="Y8" s="153"/>
    </row>
    <row r="9" spans="2:37" ht="15" customHeight="1">
      <c r="B9" s="147"/>
      <c r="C9" s="193"/>
      <c r="D9" s="194" t="s">
        <v>2</v>
      </c>
      <c r="E9" s="129"/>
      <c r="F9" s="195"/>
      <c r="G9" s="195"/>
      <c r="H9" s="194" t="s">
        <v>3</v>
      </c>
      <c r="I9" s="196"/>
      <c r="J9" s="196"/>
      <c r="K9" s="196"/>
      <c r="L9" s="194" t="s">
        <v>4</v>
      </c>
      <c r="M9" s="196"/>
      <c r="N9" s="196"/>
      <c r="O9" s="197"/>
      <c r="P9" s="127"/>
      <c r="Q9" s="132"/>
      <c r="R9" s="128" t="s">
        <v>5</v>
      </c>
      <c r="S9" s="129"/>
      <c r="T9" s="129"/>
      <c r="U9" s="129"/>
      <c r="V9" s="129"/>
      <c r="W9" s="129"/>
      <c r="X9" s="105"/>
      <c r="Y9" s="153"/>
      <c r="Z9" s="1"/>
      <c r="AB9" s="89"/>
    </row>
    <row r="10" spans="2:37" ht="15" customHeight="1">
      <c r="B10" s="147"/>
      <c r="C10" s="193"/>
      <c r="D10" s="129"/>
      <c r="E10" s="129"/>
      <c r="F10" s="195"/>
      <c r="G10" s="195"/>
      <c r="H10" s="195"/>
      <c r="I10" s="196"/>
      <c r="J10" s="196"/>
      <c r="K10" s="196"/>
      <c r="L10" s="196"/>
      <c r="M10" s="196"/>
      <c r="N10" s="196"/>
      <c r="O10" s="197"/>
      <c r="P10" s="127"/>
      <c r="Q10" s="133"/>
      <c r="R10" s="129"/>
      <c r="S10" s="129"/>
      <c r="T10" s="129"/>
      <c r="U10" s="129"/>
      <c r="V10" s="129"/>
      <c r="W10" s="129"/>
      <c r="X10" s="105"/>
      <c r="Y10" s="153"/>
      <c r="Z10" s="1"/>
    </row>
    <row r="11" spans="2:37" ht="15" customHeight="1">
      <c r="B11" s="147"/>
      <c r="C11" s="193"/>
      <c r="D11" s="129" t="s">
        <v>6</v>
      </c>
      <c r="E11" s="129"/>
      <c r="F11" s="216">
        <v>3</v>
      </c>
      <c r="G11" s="198" t="s">
        <v>7</v>
      </c>
      <c r="H11" s="199" t="s">
        <v>8</v>
      </c>
      <c r="I11" s="196"/>
      <c r="J11" s="217">
        <v>13.5</v>
      </c>
      <c r="K11" s="199" t="s">
        <v>9</v>
      </c>
      <c r="L11" s="199" t="s">
        <v>10</v>
      </c>
      <c r="M11" s="196"/>
      <c r="N11" s="217">
        <v>0.13900000000000001</v>
      </c>
      <c r="O11" s="200" t="s">
        <v>7</v>
      </c>
      <c r="P11" s="127"/>
      <c r="Q11" s="133"/>
      <c r="R11" s="129"/>
      <c r="S11" s="129" t="s">
        <v>11</v>
      </c>
      <c r="T11" s="129"/>
      <c r="U11" s="129"/>
      <c r="V11" s="129"/>
      <c r="W11" s="129"/>
      <c r="X11" s="105"/>
      <c r="Y11" s="153"/>
      <c r="Z11" s="1"/>
      <c r="AC11" s="96"/>
      <c r="AH11" s="89"/>
    </row>
    <row r="12" spans="2:37" ht="15" customHeight="1">
      <c r="B12" s="147"/>
      <c r="C12" s="193"/>
      <c r="D12" s="129" t="s">
        <v>12</v>
      </c>
      <c r="E12" s="129"/>
      <c r="F12" s="217">
        <v>4</v>
      </c>
      <c r="G12" s="199" t="s">
        <v>13</v>
      </c>
      <c r="H12" s="199"/>
      <c r="I12" s="196"/>
      <c r="J12" s="217">
        <f>J11*0.51444</f>
        <v>6.9449399999999999</v>
      </c>
      <c r="K12" s="129" t="s">
        <v>14</v>
      </c>
      <c r="L12" s="199" t="s">
        <v>15</v>
      </c>
      <c r="M12" s="129"/>
      <c r="N12" s="217">
        <v>0.99299999999999999</v>
      </c>
      <c r="O12" s="200" t="s">
        <v>7</v>
      </c>
      <c r="P12" s="127"/>
      <c r="Q12" s="133"/>
      <c r="R12" s="129"/>
      <c r="S12" s="129" t="s">
        <v>16</v>
      </c>
      <c r="T12" s="129"/>
      <c r="U12" s="129"/>
      <c r="V12" s="129"/>
      <c r="W12" s="129"/>
      <c r="X12" s="105"/>
      <c r="Y12" s="153"/>
      <c r="Z12" s="1"/>
    </row>
    <row r="13" spans="2:37" ht="15" customHeight="1">
      <c r="B13" s="147"/>
      <c r="C13" s="193"/>
      <c r="D13" s="129" t="s">
        <v>17</v>
      </c>
      <c r="E13" s="129"/>
      <c r="F13" s="216">
        <v>120</v>
      </c>
      <c r="G13" s="201" t="s">
        <v>18</v>
      </c>
      <c r="H13" s="212"/>
      <c r="I13" s="212"/>
      <c r="J13" s="212"/>
      <c r="K13" s="212"/>
      <c r="L13" s="212"/>
      <c r="M13" s="202"/>
      <c r="N13" s="202"/>
      <c r="O13" s="203"/>
      <c r="P13" s="127"/>
      <c r="Q13" s="133"/>
      <c r="R13" s="129"/>
      <c r="S13" s="129"/>
      <c r="T13" s="129"/>
      <c r="U13" s="129"/>
      <c r="V13" s="129"/>
      <c r="W13" s="129"/>
      <c r="X13" s="105"/>
      <c r="Y13" s="153"/>
      <c r="Z13" s="1"/>
      <c r="AI13" s="91"/>
      <c r="AJ13" s="92"/>
    </row>
    <row r="14" spans="2:37" ht="15" customHeight="1">
      <c r="B14" s="147"/>
      <c r="C14" s="193"/>
      <c r="D14" s="129" t="s">
        <v>19</v>
      </c>
      <c r="E14" s="129"/>
      <c r="F14" s="217">
        <v>0.95</v>
      </c>
      <c r="G14" s="202" t="s">
        <v>7</v>
      </c>
      <c r="H14" s="129" t="s">
        <v>20</v>
      </c>
      <c r="I14" s="129"/>
      <c r="J14" s="218">
        <v>6</v>
      </c>
      <c r="K14" s="129" t="s">
        <v>13</v>
      </c>
      <c r="L14" s="212"/>
      <c r="M14" s="129"/>
      <c r="N14" s="129"/>
      <c r="O14" s="204"/>
      <c r="P14" s="127"/>
      <c r="Q14" s="117"/>
      <c r="R14" s="129" t="s">
        <v>21</v>
      </c>
      <c r="S14" s="129"/>
      <c r="T14" s="129"/>
      <c r="U14" s="129"/>
      <c r="V14" s="155" t="s">
        <v>22</v>
      </c>
      <c r="W14" s="129"/>
      <c r="X14" s="105"/>
      <c r="Y14" s="153"/>
      <c r="Z14" s="1"/>
      <c r="AA14" s="3"/>
      <c r="AB14" s="89"/>
      <c r="AC14" s="89"/>
      <c r="AF14" s="95"/>
      <c r="AG14" s="95"/>
      <c r="AH14" s="89"/>
      <c r="AI14" s="89"/>
      <c r="AJ14" s="89"/>
      <c r="AK14" s="89"/>
    </row>
    <row r="15" spans="2:37" ht="15" customHeight="1">
      <c r="B15" s="147"/>
      <c r="C15" s="193"/>
      <c r="D15" s="129" t="s">
        <v>23</v>
      </c>
      <c r="E15" s="129"/>
      <c r="F15" s="217">
        <v>0.3</v>
      </c>
      <c r="G15" s="202" t="s">
        <v>7</v>
      </c>
      <c r="H15" s="129" t="s">
        <v>24</v>
      </c>
      <c r="I15" s="129"/>
      <c r="J15" s="211">
        <f>J14-0.55*F12</f>
        <v>3.8</v>
      </c>
      <c r="K15" s="129" t="s">
        <v>13</v>
      </c>
      <c r="L15" s="212"/>
      <c r="M15" s="129"/>
      <c r="N15" s="129"/>
      <c r="O15" s="204"/>
      <c r="P15" s="127"/>
      <c r="Q15" s="117"/>
      <c r="R15" s="129"/>
      <c r="S15" s="129"/>
      <c r="T15" s="129"/>
      <c r="U15" s="129"/>
      <c r="V15" s="129"/>
      <c r="W15" s="129"/>
      <c r="X15" s="105"/>
      <c r="Y15" s="153"/>
      <c r="Z15" s="1"/>
      <c r="AA15" s="32"/>
      <c r="AB15" s="89"/>
      <c r="AC15" s="89"/>
      <c r="AH15" s="89"/>
      <c r="AJ15" s="89"/>
      <c r="AK15" s="89"/>
    </row>
    <row r="16" spans="2:37" ht="15" customHeight="1">
      <c r="B16" s="147"/>
      <c r="C16" s="193"/>
      <c r="D16" s="129"/>
      <c r="E16" s="129"/>
      <c r="F16" s="129"/>
      <c r="G16" s="202"/>
      <c r="H16" s="199"/>
      <c r="I16" s="129"/>
      <c r="J16" s="205"/>
      <c r="K16" s="202"/>
      <c r="L16" s="212"/>
      <c r="M16" s="202"/>
      <c r="N16" s="202"/>
      <c r="O16" s="203"/>
      <c r="P16" s="127"/>
      <c r="Q16" s="133"/>
      <c r="R16" s="129"/>
      <c r="S16" s="129"/>
      <c r="T16" s="129"/>
      <c r="U16" s="129"/>
      <c r="V16" s="129"/>
      <c r="W16" s="129"/>
      <c r="X16" s="105"/>
      <c r="Y16" s="153"/>
      <c r="Z16" s="1"/>
      <c r="AA16" s="32"/>
      <c r="AB16" s="89"/>
      <c r="AC16" s="89"/>
      <c r="AH16" s="89"/>
      <c r="AJ16" s="89"/>
      <c r="AK16" s="89"/>
    </row>
    <row r="17" spans="2:37" ht="15" customHeight="1">
      <c r="B17" s="147"/>
      <c r="C17" s="193"/>
      <c r="D17" s="129"/>
      <c r="E17" s="129"/>
      <c r="F17" s="129"/>
      <c r="G17" s="202"/>
      <c r="H17" s="199" t="s">
        <v>25</v>
      </c>
      <c r="I17" s="129"/>
      <c r="J17" s="219">
        <v>0.05</v>
      </c>
      <c r="K17" s="202" t="s">
        <v>7</v>
      </c>
      <c r="L17" s="212"/>
      <c r="M17" s="202"/>
      <c r="N17" s="202"/>
      <c r="O17" s="203"/>
      <c r="P17" s="127"/>
      <c r="Q17" s="133"/>
      <c r="R17" s="129"/>
      <c r="S17" s="129"/>
      <c r="T17" s="129"/>
      <c r="U17" s="129"/>
      <c r="V17" s="129"/>
      <c r="W17" s="129"/>
      <c r="X17" s="105"/>
      <c r="Y17" s="153"/>
      <c r="Z17" s="1"/>
      <c r="AA17" s="32"/>
      <c r="AB17" s="89"/>
      <c r="AC17" s="89"/>
      <c r="AH17" s="89"/>
      <c r="AJ17" s="89"/>
      <c r="AK17" s="89"/>
    </row>
    <row r="18" spans="2:37" ht="15" customHeight="1">
      <c r="B18" s="147"/>
      <c r="C18" s="206"/>
      <c r="D18" s="130"/>
      <c r="E18" s="130"/>
      <c r="F18" s="207"/>
      <c r="G18" s="208"/>
      <c r="H18" s="209"/>
      <c r="I18" s="209"/>
      <c r="J18" s="130"/>
      <c r="K18" s="207"/>
      <c r="L18" s="208"/>
      <c r="M18" s="208"/>
      <c r="N18" s="208"/>
      <c r="O18" s="210"/>
      <c r="P18" s="127"/>
      <c r="Q18" s="135"/>
      <c r="R18" s="130"/>
      <c r="S18" s="130"/>
      <c r="T18" s="130"/>
      <c r="U18" s="130"/>
      <c r="V18" s="130"/>
      <c r="W18" s="130"/>
      <c r="X18" s="106"/>
      <c r="Y18" s="153"/>
      <c r="Z18" s="1"/>
      <c r="AA18" s="1"/>
      <c r="AC18" s="34"/>
      <c r="AD18" s="1"/>
      <c r="AF18" s="93"/>
      <c r="AG18" s="94"/>
    </row>
    <row r="19" spans="2:37" ht="15" customHeight="1">
      <c r="B19" s="147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53"/>
      <c r="Z19" s="1"/>
      <c r="AA19" s="33"/>
      <c r="AC19" s="3"/>
      <c r="AD19" s="33"/>
      <c r="AF19" s="93"/>
      <c r="AG19" s="94"/>
    </row>
    <row r="20" spans="2:37" ht="15" customHeight="1">
      <c r="B20" s="147"/>
      <c r="C20" s="113"/>
      <c r="D20" s="121"/>
      <c r="E20" s="115"/>
      <c r="F20" s="122"/>
      <c r="G20" s="123"/>
      <c r="H20" s="124"/>
      <c r="I20" s="121"/>
      <c r="J20" s="115"/>
      <c r="K20" s="115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5"/>
      <c r="Y20" s="153"/>
      <c r="Z20" s="1"/>
      <c r="AA20" s="33"/>
      <c r="AB20" s="1"/>
      <c r="AC20" s="1"/>
      <c r="AD20" s="33"/>
      <c r="AF20" s="93"/>
      <c r="AG20" s="94"/>
    </row>
    <row r="21" spans="2:37" ht="15" customHeight="1">
      <c r="B21" s="147"/>
      <c r="C21" s="117"/>
      <c r="D21" s="141" t="s">
        <v>26</v>
      </c>
      <c r="E21" s="107"/>
      <c r="F21" s="111"/>
      <c r="G21" s="110"/>
      <c r="H21" s="109"/>
      <c r="I21" s="141" t="s">
        <v>27</v>
      </c>
      <c r="J21" s="107"/>
      <c r="K21" s="213" t="str">
        <f>IF(Cálculo!C17&gt;0,"ok","nok")</f>
        <v>ok</v>
      </c>
      <c r="L21" s="109"/>
      <c r="M21" s="109"/>
      <c r="X21" s="126"/>
      <c r="Y21" s="153"/>
      <c r="Z21" s="1"/>
      <c r="AA21" s="89"/>
      <c r="AB21" s="89"/>
      <c r="AF21" s="93"/>
      <c r="AG21" s="93"/>
    </row>
    <row r="22" spans="2:37" ht="15" customHeight="1">
      <c r="B22" s="147"/>
      <c r="C22" s="117"/>
      <c r="D22" s="134"/>
      <c r="E22" s="134"/>
      <c r="F22" s="134"/>
      <c r="G22" s="134"/>
      <c r="H22" s="107"/>
      <c r="I22" s="107"/>
      <c r="J22" s="107"/>
      <c r="K22" s="107"/>
      <c r="L22" s="107"/>
      <c r="M22" s="109"/>
      <c r="X22" s="126"/>
      <c r="Y22" s="153"/>
      <c r="Z22" s="1"/>
      <c r="AA22" s="89"/>
      <c r="AB22" s="89"/>
      <c r="AF22" s="93"/>
      <c r="AG22" s="94"/>
    </row>
    <row r="23" spans="2:37" ht="15" customHeight="1">
      <c r="B23" s="147"/>
      <c r="C23" s="117"/>
      <c r="D23" s="136" t="s">
        <v>28</v>
      </c>
      <c r="E23" s="136" t="s">
        <v>29</v>
      </c>
      <c r="F23" s="136" t="s">
        <v>30</v>
      </c>
      <c r="G23" s="154" t="s">
        <v>31</v>
      </c>
      <c r="H23" s="107"/>
      <c r="I23" s="107" t="s">
        <v>32</v>
      </c>
      <c r="J23" s="107"/>
      <c r="K23" s="211">
        <f>K24/((F13/60)*F12)</f>
        <v>0.74744916750000001</v>
      </c>
      <c r="L23" s="108" t="s">
        <v>7</v>
      </c>
      <c r="M23" s="109"/>
      <c r="X23" s="126"/>
      <c r="Y23" s="153"/>
      <c r="Z23" s="14"/>
      <c r="AA23" s="138"/>
      <c r="AB23" s="138"/>
    </row>
    <row r="24" spans="2:37" ht="15" customHeight="1">
      <c r="B24" s="147"/>
      <c r="C24" s="117"/>
      <c r="D24" s="220">
        <v>1E-3</v>
      </c>
      <c r="E24" s="221">
        <v>0.33844746925420105</v>
      </c>
      <c r="F24" s="221">
        <v>0.42302322954830968</v>
      </c>
      <c r="G24" s="222">
        <v>1.2644347841583173E-3</v>
      </c>
      <c r="H24" s="107"/>
      <c r="I24" s="107" t="s">
        <v>33</v>
      </c>
      <c r="J24" s="107"/>
      <c r="K24" s="211">
        <f>J12*(1-N11)</f>
        <v>5.9795933400000001</v>
      </c>
      <c r="L24" s="109" t="s">
        <v>14</v>
      </c>
      <c r="M24" s="109"/>
      <c r="X24" s="126"/>
      <c r="Y24" s="153"/>
      <c r="Z24" s="14"/>
    </row>
    <row r="25" spans="2:37" ht="15" customHeight="1">
      <c r="B25" s="147"/>
      <c r="C25" s="117"/>
      <c r="D25" s="220">
        <v>0.1</v>
      </c>
      <c r="E25" s="221">
        <v>0.31987344953682401</v>
      </c>
      <c r="F25" s="221">
        <v>0.40265646418964468</v>
      </c>
      <c r="G25" s="222">
        <v>0.12554889606647002</v>
      </c>
      <c r="H25" s="107"/>
      <c r="I25" s="107"/>
      <c r="J25" s="107"/>
      <c r="K25" s="107"/>
      <c r="L25" s="107"/>
      <c r="M25" s="109"/>
      <c r="X25" s="126"/>
      <c r="Y25" s="153"/>
      <c r="Z25" s="1"/>
      <c r="AC25" s="89"/>
    </row>
    <row r="26" spans="2:37" ht="15" customHeight="1">
      <c r="B26" s="147"/>
      <c r="C26" s="117"/>
      <c r="D26" s="220">
        <v>0.2</v>
      </c>
      <c r="E26" s="221">
        <v>0.29793027242507597</v>
      </c>
      <c r="F26" s="221">
        <v>0.3806486015915983</v>
      </c>
      <c r="G26" s="222">
        <v>0.24739434653072401</v>
      </c>
      <c r="H26" s="107"/>
      <c r="I26" s="107" t="s">
        <v>34</v>
      </c>
      <c r="J26" s="107"/>
      <c r="K26" s="223">
        <v>0.13130659575502512</v>
      </c>
      <c r="L26" s="108" t="s">
        <v>7</v>
      </c>
      <c r="M26" s="109"/>
      <c r="X26" s="126"/>
      <c r="Y26" s="153"/>
      <c r="Z26" s="99"/>
      <c r="AA26" s="139"/>
      <c r="AB26" s="97"/>
    </row>
    <row r="27" spans="2:37" ht="15" customHeight="1">
      <c r="B27" s="147"/>
      <c r="C27" s="117"/>
      <c r="D27" s="220">
        <v>0.3</v>
      </c>
      <c r="E27" s="221">
        <v>0.27301946638797048</v>
      </c>
      <c r="F27" s="221">
        <v>0.35664508908166975</v>
      </c>
      <c r="G27" s="222">
        <v>0.36295100232790251</v>
      </c>
      <c r="H27" s="107"/>
      <c r="I27" s="107" t="s">
        <v>35</v>
      </c>
      <c r="J27" s="107" t="s">
        <v>36</v>
      </c>
      <c r="K27" s="226">
        <v>137.9404150631222</v>
      </c>
      <c r="L27" s="107" t="s">
        <v>37</v>
      </c>
      <c r="M27" s="109"/>
      <c r="X27" s="126"/>
      <c r="Y27" s="153"/>
      <c r="Z27" s="98"/>
      <c r="AA27" s="139"/>
      <c r="AB27" s="97"/>
      <c r="AC27" s="89"/>
    </row>
    <row r="28" spans="2:37" ht="15" customHeight="1">
      <c r="B28" s="147"/>
      <c r="C28" s="117"/>
      <c r="D28" s="220">
        <v>0.4</v>
      </c>
      <c r="E28" s="221">
        <v>0.24537170007261555</v>
      </c>
      <c r="F28" s="221">
        <v>0.33009101229651566</v>
      </c>
      <c r="G28" s="222">
        <v>0.46991590420952689</v>
      </c>
      <c r="H28" s="107"/>
      <c r="I28" s="107"/>
      <c r="J28" s="107"/>
      <c r="K28" s="107"/>
      <c r="L28" s="107"/>
      <c r="M28" s="109"/>
      <c r="X28" s="126"/>
      <c r="Y28" s="153"/>
      <c r="Z28" s="90"/>
      <c r="AB28" s="89"/>
      <c r="AC28" s="89"/>
    </row>
    <row r="29" spans="2:37" ht="15" customHeight="1">
      <c r="B29" s="147"/>
      <c r="C29" s="117"/>
      <c r="D29" s="220">
        <v>0.5</v>
      </c>
      <c r="E29" s="221">
        <v>0.21521764212611913</v>
      </c>
      <c r="F29" s="221">
        <v>0.30043145687279305</v>
      </c>
      <c r="G29" s="222">
        <v>0.56607222955120462</v>
      </c>
      <c r="H29" s="107"/>
      <c r="I29" s="107" t="s">
        <v>38</v>
      </c>
      <c r="J29" s="107"/>
      <c r="K29" s="224">
        <v>2.101313851778655E-2</v>
      </c>
      <c r="L29" s="108" t="s">
        <v>7</v>
      </c>
      <c r="M29" s="109"/>
      <c r="X29" s="126"/>
      <c r="Y29" s="153"/>
      <c r="Z29" s="1"/>
    </row>
    <row r="30" spans="2:37" ht="15" customHeight="1">
      <c r="B30" s="147"/>
      <c r="C30" s="117"/>
      <c r="D30" s="220">
        <v>0.6</v>
      </c>
      <c r="E30" s="221">
        <v>0.18278796119558849</v>
      </c>
      <c r="F30" s="221">
        <v>0.26711150844715914</v>
      </c>
      <c r="G30" s="222">
        <v>0.64889678045635546</v>
      </c>
      <c r="H30" s="107"/>
      <c r="I30" s="107" t="s">
        <v>39</v>
      </c>
      <c r="J30" s="107"/>
      <c r="K30" s="226">
        <v>88.299023586907026</v>
      </c>
      <c r="L30" s="107" t="s">
        <v>40</v>
      </c>
      <c r="M30" s="109"/>
      <c r="X30" s="126"/>
      <c r="Y30" s="153"/>
      <c r="Z30" s="1"/>
    </row>
    <row r="31" spans="2:37" ht="15" customHeight="1">
      <c r="B31" s="147"/>
      <c r="C31" s="117"/>
      <c r="D31" s="220">
        <v>0.7</v>
      </c>
      <c r="E31" s="221">
        <v>0.1483133259281314</v>
      </c>
      <c r="F31" s="221">
        <v>0.22957625265627107</v>
      </c>
      <c r="G31" s="222">
        <v>0.71469481528756551</v>
      </c>
      <c r="H31" s="107"/>
      <c r="I31" s="107"/>
      <c r="J31" s="107"/>
      <c r="K31" s="107"/>
      <c r="L31" s="107"/>
      <c r="M31" s="109"/>
      <c r="X31" s="126"/>
      <c r="Y31" s="153"/>
      <c r="Z31" s="1"/>
    </row>
    <row r="32" spans="2:37" ht="15" customHeight="1">
      <c r="B32" s="147"/>
      <c r="C32" s="117"/>
      <c r="D32" s="220">
        <v>0.8</v>
      </c>
      <c r="E32" s="221">
        <v>0.1120244049708555</v>
      </c>
      <c r="F32" s="221">
        <v>0.18727077513678542</v>
      </c>
      <c r="G32" s="222">
        <v>0.75631376526410288</v>
      </c>
      <c r="H32" s="107"/>
      <c r="I32" s="107" t="s">
        <v>41</v>
      </c>
      <c r="J32" s="107"/>
      <c r="K32" s="225">
        <v>0.73815346249949976</v>
      </c>
      <c r="L32" s="108" t="s">
        <v>7</v>
      </c>
      <c r="M32" s="109"/>
      <c r="X32" s="126"/>
      <c r="Y32" s="153"/>
      <c r="Z32" s="1"/>
    </row>
    <row r="33" spans="2:29" ht="15" customHeight="1">
      <c r="B33" s="147"/>
      <c r="C33" s="117"/>
      <c r="D33" s="220">
        <v>0.9</v>
      </c>
      <c r="E33" s="221">
        <v>7.4151866970868813E-2</v>
      </c>
      <c r="F33" s="221">
        <v>0.13964016152535977</v>
      </c>
      <c r="G33" s="222">
        <v>0.75530722165073727</v>
      </c>
      <c r="H33" s="107"/>
      <c r="I33" s="107" t="s">
        <v>42</v>
      </c>
      <c r="J33" s="107"/>
      <c r="K33" s="226">
        <v>1109.5982552791158</v>
      </c>
      <c r="L33" s="107" t="s">
        <v>43</v>
      </c>
      <c r="M33" s="109"/>
      <c r="X33" s="126"/>
      <c r="Y33" s="153"/>
      <c r="Z33" s="1"/>
      <c r="AA33" s="89"/>
      <c r="AB33" s="2"/>
      <c r="AC33" s="89"/>
    </row>
    <row r="34" spans="2:29" ht="15" customHeight="1">
      <c r="B34" s="147"/>
      <c r="C34" s="117"/>
      <c r="D34" s="220">
        <v>1</v>
      </c>
      <c r="E34" s="221">
        <v>3.4926380575278873E-2</v>
      </c>
      <c r="F34" s="221">
        <v>8.6129497458650589E-2</v>
      </c>
      <c r="G34" s="222">
        <v>0.64087163317355977</v>
      </c>
      <c r="H34" s="107"/>
      <c r="I34" s="107"/>
      <c r="J34" s="107"/>
      <c r="K34" s="107"/>
      <c r="L34" s="107"/>
      <c r="M34" s="109"/>
      <c r="X34" s="126"/>
      <c r="Y34" s="153"/>
      <c r="Z34" s="1"/>
      <c r="AB34" s="2"/>
      <c r="AC34" s="89"/>
    </row>
    <row r="35" spans="2:29" ht="15" customHeight="1">
      <c r="B35" s="147"/>
      <c r="C35" s="117"/>
      <c r="D35" s="220"/>
      <c r="E35" s="221"/>
      <c r="F35" s="221"/>
      <c r="G35" s="222"/>
      <c r="H35" s="107"/>
      <c r="I35" s="107" t="s">
        <v>44</v>
      </c>
      <c r="J35" s="107"/>
      <c r="K35" s="227" t="str">
        <f>Cavitação!D14</f>
        <v>ok</v>
      </c>
      <c r="L35" s="108" t="s">
        <v>7</v>
      </c>
      <c r="M35" s="109"/>
      <c r="X35" s="126"/>
      <c r="Y35" s="153"/>
      <c r="Z35" s="1"/>
    </row>
    <row r="36" spans="2:29" ht="15" customHeight="1">
      <c r="B36" s="147"/>
      <c r="C36" s="117"/>
      <c r="D36" s="220"/>
      <c r="E36" s="220"/>
      <c r="F36" s="220"/>
      <c r="G36" s="222"/>
      <c r="H36" s="107"/>
      <c r="I36" s="107"/>
      <c r="J36" s="107"/>
      <c r="K36" s="107"/>
      <c r="L36" s="107"/>
      <c r="M36" s="107"/>
      <c r="N36" s="107"/>
      <c r="O36" s="107"/>
      <c r="P36" s="107"/>
      <c r="Q36" s="109"/>
      <c r="X36" s="126"/>
      <c r="Y36" s="153"/>
      <c r="Z36" s="1"/>
    </row>
    <row r="37" spans="2:29" ht="15" customHeight="1">
      <c r="B37" s="147"/>
      <c r="C37" s="117"/>
      <c r="D37" s="220"/>
      <c r="E37" s="220"/>
      <c r="F37" s="220"/>
      <c r="G37" s="222"/>
      <c r="H37" s="107"/>
      <c r="I37" s="107"/>
      <c r="J37" s="107"/>
      <c r="K37" s="107"/>
      <c r="L37" s="107"/>
      <c r="M37" s="107"/>
      <c r="N37" s="107"/>
      <c r="O37" s="109"/>
      <c r="P37" s="109"/>
      <c r="Q37" s="109"/>
      <c r="X37" s="126"/>
      <c r="Y37" s="153"/>
      <c r="Z37" s="1"/>
    </row>
    <row r="38" spans="2:29" ht="15" customHeight="1">
      <c r="B38" s="147"/>
      <c r="C38" s="117"/>
      <c r="D38" s="220"/>
      <c r="E38" s="220"/>
      <c r="F38" s="220"/>
      <c r="G38" s="222"/>
      <c r="H38" s="107"/>
      <c r="I38" s="107"/>
      <c r="J38" s="107"/>
      <c r="K38" s="107"/>
      <c r="L38" s="107"/>
      <c r="M38" s="107"/>
      <c r="N38" s="107"/>
      <c r="O38" s="109"/>
      <c r="P38" s="109"/>
      <c r="Q38" s="109"/>
      <c r="X38" s="126"/>
      <c r="Y38" s="153"/>
      <c r="Z38" s="1"/>
    </row>
    <row r="39" spans="2:29" ht="15" customHeight="1">
      <c r="B39" s="147"/>
      <c r="C39" s="117"/>
      <c r="D39" s="220"/>
      <c r="E39" s="220"/>
      <c r="F39" s="220"/>
      <c r="G39" s="222"/>
      <c r="H39" s="107"/>
      <c r="I39" s="107"/>
      <c r="J39" s="107"/>
      <c r="K39" s="107"/>
      <c r="L39" s="107"/>
      <c r="M39" s="107"/>
      <c r="N39" s="107"/>
      <c r="O39" s="109"/>
      <c r="P39" s="109"/>
      <c r="Q39" s="109"/>
      <c r="X39" s="126"/>
      <c r="Y39" s="153"/>
      <c r="Z39" s="1"/>
    </row>
    <row r="40" spans="2:29" ht="15" customHeight="1">
      <c r="B40" s="147"/>
      <c r="C40" s="118"/>
      <c r="D40" s="119"/>
      <c r="E40" s="119"/>
      <c r="F40" s="119"/>
      <c r="G40" s="120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37"/>
      <c r="Y40" s="153"/>
      <c r="Z40" s="1"/>
    </row>
    <row r="41" spans="2:29" ht="15" customHeight="1" thickBot="1">
      <c r="B41" s="148"/>
      <c r="C41" s="149"/>
      <c r="D41" s="149"/>
      <c r="E41" s="149"/>
      <c r="F41" s="149"/>
      <c r="G41" s="149"/>
      <c r="H41" s="149"/>
      <c r="I41" s="149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49"/>
      <c r="Y41" s="151"/>
    </row>
    <row r="42" spans="2:29" ht="15" customHeight="1"/>
    <row r="43" spans="2:29" ht="15" customHeight="1">
      <c r="B43" s="89"/>
      <c r="C43" s="89"/>
      <c r="D43" s="89"/>
      <c r="E43" s="89"/>
      <c r="F43" s="89"/>
      <c r="G43" s="139"/>
    </row>
    <row r="44" spans="2:29" ht="15" customHeight="1">
      <c r="B44" s="89"/>
      <c r="C44" s="89"/>
      <c r="D44" s="89"/>
      <c r="E44" s="89"/>
      <c r="F44" s="89"/>
      <c r="G44" s="139"/>
    </row>
    <row r="45" spans="2:29" ht="15" customHeight="1">
      <c r="B45" s="89"/>
      <c r="C45" s="89"/>
      <c r="D45" s="89"/>
      <c r="E45" s="89"/>
      <c r="F45" s="89"/>
      <c r="G45" s="139"/>
    </row>
    <row r="46" spans="2:29" ht="15" customHeight="1">
      <c r="B46" s="89"/>
      <c r="C46" s="89"/>
      <c r="D46" s="89"/>
      <c r="E46" s="89"/>
      <c r="F46" s="89"/>
      <c r="G46" s="139"/>
    </row>
    <row r="47" spans="2:29" ht="15" customHeight="1">
      <c r="B47" s="89"/>
      <c r="C47" s="89"/>
      <c r="D47" s="89"/>
      <c r="E47" s="89"/>
      <c r="F47" s="89"/>
      <c r="G47" s="139"/>
    </row>
    <row r="48" spans="2:29" ht="15" customHeight="1">
      <c r="B48" s="89"/>
      <c r="C48" s="89"/>
      <c r="D48" s="89"/>
      <c r="E48" s="89"/>
      <c r="F48" s="89"/>
      <c r="G48" s="139"/>
    </row>
    <row r="49" spans="4:7" ht="15" customHeight="1">
      <c r="G49" s="2"/>
    </row>
    <row r="50" spans="4:7" ht="15" customHeight="1">
      <c r="D50" s="140">
        <f>K23</f>
        <v>0.74744916750000001</v>
      </c>
      <c r="E50" s="140">
        <f>K32</f>
        <v>0.73815346249949976</v>
      </c>
      <c r="G50" s="2"/>
    </row>
    <row r="51" spans="4:7" ht="15" customHeight="1">
      <c r="D51" s="140">
        <f>K23</f>
        <v>0.74744916750000001</v>
      </c>
      <c r="E51" s="140">
        <f>K32</f>
        <v>0.73815346249949976</v>
      </c>
      <c r="G51" s="2"/>
    </row>
    <row r="52" spans="4:7" ht="15" customHeight="1"/>
    <row r="53" spans="4:7" ht="15" customHeight="1"/>
    <row r="54" spans="4:7" ht="15" customHeight="1"/>
    <row r="55" spans="4:7" ht="15" customHeight="1"/>
    <row r="56" spans="4:7" ht="15" customHeight="1"/>
    <row r="57" spans="4:7" ht="15" customHeight="1"/>
    <row r="58" spans="4:7" ht="15" customHeight="1"/>
    <row r="59" spans="4:7" ht="15" customHeight="1"/>
    <row r="60" spans="4:7" ht="15" customHeight="1"/>
  </sheetData>
  <sheetProtection selectLockedCells="1"/>
  <phoneticPr fontId="7" type="noConversion"/>
  <pageMargins left="0.78740157499999996" right="0.78740157499999996" top="0.984251969" bottom="0.984251969" header="0.49212598499999999" footer="0.49212598499999999"/>
  <pageSetup paperSize="9" orientation="portrait" horizontalDpi="4294967293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2:J175"/>
  <sheetViews>
    <sheetView showGridLines="0" topLeftCell="A4" zoomScaleNormal="100" workbookViewId="0">
      <selection activeCell="F25" sqref="F25"/>
    </sheetView>
  </sheetViews>
  <sheetFormatPr defaultColWidth="11.44140625" defaultRowHeight="15" customHeight="1"/>
  <cols>
    <col min="1" max="1" width="3.6640625" style="6" customWidth="1"/>
    <col min="2" max="2" width="11.44140625" style="6" customWidth="1"/>
    <col min="3" max="3" width="13.5546875" style="6" customWidth="1"/>
    <col min="4" max="7" width="11.44140625" style="6" customWidth="1"/>
    <col min="8" max="9" width="13.5546875" style="6" customWidth="1"/>
    <col min="10" max="16384" width="11.44140625" style="6"/>
  </cols>
  <sheetData>
    <row r="2" spans="1:9" ht="15" customHeight="1">
      <c r="B2" s="228" t="s">
        <v>45</v>
      </c>
      <c r="C2" s="9"/>
      <c r="D2" s="7"/>
      <c r="E2" s="7"/>
      <c r="F2" s="7"/>
    </row>
    <row r="3" spans="1:9" ht="15" customHeight="1">
      <c r="B3" s="229"/>
      <c r="C3" s="8"/>
    </row>
    <row r="4" spans="1:9" ht="15" customHeight="1">
      <c r="B4" s="229"/>
      <c r="C4" s="8"/>
    </row>
    <row r="5" spans="1:9" ht="15" customHeight="1">
      <c r="A5" s="15"/>
      <c r="B5" s="16"/>
      <c r="C5" s="17"/>
      <c r="D5" s="15"/>
      <c r="E5" s="15"/>
      <c r="F5" s="15"/>
      <c r="G5" s="15"/>
      <c r="H5" s="15"/>
      <c r="I5" s="15"/>
    </row>
    <row r="6" spans="1:9" ht="15" customHeight="1">
      <c r="A6" s="15"/>
      <c r="B6" s="16"/>
      <c r="C6" s="17"/>
      <c r="D6" s="15"/>
      <c r="E6" s="15"/>
      <c r="F6" s="15"/>
      <c r="G6" s="15"/>
      <c r="H6" s="15"/>
      <c r="I6" s="15"/>
    </row>
    <row r="7" spans="1:9" ht="15" customHeight="1">
      <c r="A7" s="15"/>
      <c r="B7" s="60" t="s">
        <v>46</v>
      </c>
      <c r="C7" s="230"/>
      <c r="D7" s="230"/>
      <c r="E7" s="230"/>
      <c r="F7" s="230"/>
      <c r="G7" s="231"/>
      <c r="H7" s="15"/>
      <c r="I7" s="15"/>
    </row>
    <row r="8" spans="1:9" ht="15" customHeight="1">
      <c r="A8" s="15"/>
      <c r="B8" s="232"/>
      <c r="C8" s="233"/>
      <c r="D8" s="233"/>
      <c r="E8" s="233"/>
      <c r="F8" s="233"/>
      <c r="G8" s="234"/>
      <c r="H8" s="15"/>
      <c r="I8" s="15"/>
    </row>
    <row r="9" spans="1:9" ht="15" customHeight="1">
      <c r="A9" s="15"/>
      <c r="B9" s="38" t="s">
        <v>47</v>
      </c>
      <c r="C9" s="41">
        <f>Principal!F12</f>
        <v>4</v>
      </c>
      <c r="D9" s="235" t="s">
        <v>13</v>
      </c>
      <c r="E9" s="40" t="s">
        <v>48</v>
      </c>
      <c r="F9" s="42">
        <f>Principal!F11</f>
        <v>3</v>
      </c>
      <c r="G9" s="236" t="s">
        <v>7</v>
      </c>
      <c r="H9" s="15"/>
      <c r="I9" s="15"/>
    </row>
    <row r="10" spans="1:9" ht="15" customHeight="1">
      <c r="A10" s="15"/>
      <c r="B10" s="38" t="s">
        <v>49</v>
      </c>
      <c r="C10" s="42">
        <f>Principal!F13</f>
        <v>120</v>
      </c>
      <c r="D10" s="235" t="s">
        <v>18</v>
      </c>
      <c r="E10" s="40" t="s">
        <v>50</v>
      </c>
      <c r="F10" s="41">
        <f>Principal!F14</f>
        <v>0.95</v>
      </c>
      <c r="G10" s="236" t="s">
        <v>7</v>
      </c>
      <c r="H10" s="15"/>
      <c r="I10" s="15"/>
    </row>
    <row r="11" spans="1:9" ht="15" customHeight="1">
      <c r="A11" s="15"/>
      <c r="B11" s="38" t="s">
        <v>51</v>
      </c>
      <c r="C11" s="41">
        <f>C10/60</f>
        <v>2</v>
      </c>
      <c r="D11" s="235" t="s">
        <v>52</v>
      </c>
      <c r="E11" s="40" t="s">
        <v>53</v>
      </c>
      <c r="F11" s="41">
        <f>Principal!F15</f>
        <v>0.3</v>
      </c>
      <c r="G11" s="236" t="s">
        <v>7</v>
      </c>
      <c r="H11" s="15"/>
      <c r="I11" s="15"/>
    </row>
    <row r="12" spans="1:9" ht="15" customHeight="1">
      <c r="A12" s="15"/>
      <c r="B12" s="61"/>
      <c r="C12" s="237"/>
      <c r="D12" s="238"/>
      <c r="E12" s="238"/>
      <c r="F12" s="238"/>
      <c r="G12" s="239"/>
      <c r="H12" s="15"/>
      <c r="I12" s="15"/>
    </row>
    <row r="13" spans="1:9" ht="15" customHeight="1">
      <c r="A13" s="15"/>
      <c r="B13" s="62"/>
      <c r="C13" s="240"/>
      <c r="D13" s="241"/>
      <c r="E13" s="241"/>
      <c r="F13" s="241"/>
      <c r="G13" s="241"/>
      <c r="H13" s="15"/>
      <c r="I13" s="15"/>
    </row>
    <row r="14" spans="1:9" ht="15" customHeight="1">
      <c r="A14" s="15"/>
      <c r="B14" s="240"/>
      <c r="C14" s="240"/>
      <c r="D14" s="241"/>
      <c r="E14" s="241"/>
      <c r="F14" s="241"/>
      <c r="G14" s="241"/>
      <c r="H14" s="15"/>
      <c r="I14" s="15"/>
    </row>
    <row r="15" spans="1:9" ht="15" customHeight="1">
      <c r="A15" s="15"/>
      <c r="B15" s="60" t="s">
        <v>54</v>
      </c>
      <c r="C15" s="230"/>
      <c r="D15" s="230"/>
      <c r="E15" s="230"/>
      <c r="F15" s="230"/>
      <c r="G15" s="231"/>
      <c r="H15" s="15"/>
      <c r="I15" s="15"/>
    </row>
    <row r="16" spans="1:9" ht="15" customHeight="1">
      <c r="A16" s="15"/>
      <c r="B16" s="242"/>
      <c r="C16" s="46"/>
      <c r="D16" s="46"/>
      <c r="E16" s="243"/>
      <c r="F16" s="243"/>
      <c r="G16" s="244"/>
      <c r="H16" s="15"/>
      <c r="I16" s="15"/>
    </row>
    <row r="17" spans="1:10" ht="15" customHeight="1">
      <c r="A17" s="15"/>
      <c r="B17" s="38" t="s">
        <v>55</v>
      </c>
      <c r="C17" s="245">
        <f>Cálculo!H79+C30</f>
        <v>0.13130659575502512</v>
      </c>
      <c r="D17" s="246" t="s">
        <v>7</v>
      </c>
      <c r="E17" s="40" t="s">
        <v>56</v>
      </c>
      <c r="F17" s="247">
        <f>(C17*Propriedades!E7*C26^2*C9^4)/1000</f>
        <v>137.9404150631222</v>
      </c>
      <c r="G17" s="248" t="s">
        <v>37</v>
      </c>
      <c r="H17" s="15"/>
      <c r="I17" s="15"/>
    </row>
    <row r="18" spans="1:10" ht="15" customHeight="1">
      <c r="A18" s="15"/>
      <c r="B18" s="38" t="s">
        <v>57</v>
      </c>
      <c r="C18" s="245">
        <f>Cálculo!H134+F30</f>
        <v>2.101313851778655E-2</v>
      </c>
      <c r="D18" s="246" t="s">
        <v>7</v>
      </c>
      <c r="E18" s="40" t="s">
        <v>58</v>
      </c>
      <c r="F18" s="247">
        <f>(C18*Propriedades!E7*C26^2*C9^5)/1000</f>
        <v>88.299023586907026</v>
      </c>
      <c r="G18" s="248" t="s">
        <v>40</v>
      </c>
      <c r="H18" s="15"/>
      <c r="I18" s="15"/>
    </row>
    <row r="19" spans="1:10" ht="15" customHeight="1">
      <c r="A19" s="15"/>
      <c r="B19" s="11" t="s">
        <v>59</v>
      </c>
      <c r="C19" s="48">
        <f>(C27*C17)/(2*PI()*C18)*Principal!N12</f>
        <v>0.73815346249949976</v>
      </c>
      <c r="D19" s="246" t="s">
        <v>7</v>
      </c>
      <c r="E19" s="40" t="s">
        <v>60</v>
      </c>
      <c r="F19" s="39">
        <f>2*PI()*F18*C26</f>
        <v>1109.5982552791158</v>
      </c>
      <c r="G19" s="248" t="s">
        <v>43</v>
      </c>
      <c r="H19" s="15"/>
      <c r="I19" s="15"/>
    </row>
    <row r="20" spans="1:10" ht="15" customHeight="1">
      <c r="A20" s="15"/>
      <c r="B20" s="249"/>
      <c r="C20" s="238"/>
      <c r="D20" s="238"/>
      <c r="E20" s="238"/>
      <c r="F20" s="238"/>
      <c r="G20" s="239"/>
      <c r="H20" s="15"/>
      <c r="I20" s="15"/>
    </row>
    <row r="21" spans="1:10" ht="15" customHeight="1">
      <c r="A21" s="15"/>
      <c r="B21" s="241"/>
      <c r="C21" s="241"/>
      <c r="D21" s="241"/>
      <c r="E21" s="241"/>
      <c r="F21" s="241"/>
      <c r="G21" s="241"/>
      <c r="H21" s="15"/>
      <c r="I21" s="15"/>
    </row>
    <row r="22" spans="1:10" ht="15" customHeight="1">
      <c r="A22" s="15"/>
      <c r="B22" s="250"/>
      <c r="C22" s="250"/>
      <c r="D22" s="250"/>
      <c r="E22" s="241"/>
      <c r="F22" s="241"/>
      <c r="G22" s="241"/>
      <c r="H22" s="15"/>
      <c r="I22" s="15"/>
    </row>
    <row r="23" spans="1:10" ht="15" customHeight="1">
      <c r="A23" s="15"/>
      <c r="B23" s="60" t="s">
        <v>61</v>
      </c>
      <c r="C23" s="230"/>
      <c r="D23" s="230"/>
      <c r="E23" s="230"/>
      <c r="F23" s="230"/>
      <c r="G23" s="231"/>
      <c r="H23" s="15"/>
      <c r="I23" s="15"/>
    </row>
    <row r="24" spans="1:10" ht="15" customHeight="1">
      <c r="A24" s="15"/>
      <c r="B24" s="251"/>
      <c r="C24" s="73"/>
      <c r="D24" s="73"/>
      <c r="E24" s="233"/>
      <c r="F24" s="233"/>
      <c r="G24" s="234"/>
      <c r="H24" s="15"/>
      <c r="I24" s="15"/>
    </row>
    <row r="25" spans="1:10" ht="15" customHeight="1">
      <c r="A25" s="15"/>
      <c r="B25" s="38" t="s">
        <v>62</v>
      </c>
      <c r="C25" s="41">
        <f>Principal!J12</f>
        <v>6.9449399999999999</v>
      </c>
      <c r="D25" s="235" t="s">
        <v>14</v>
      </c>
      <c r="E25" s="40" t="s">
        <v>63</v>
      </c>
      <c r="F25" s="252">
        <f>F26*SQRT(C25^2+(0.75*PI()*C11*C9)^2)/Propriedades!E8</f>
        <v>14017537.715831898</v>
      </c>
      <c r="G25" s="236" t="s">
        <v>7</v>
      </c>
      <c r="H25" s="15"/>
      <c r="I25" s="15"/>
    </row>
    <row r="26" spans="1:10" ht="15" customHeight="1">
      <c r="A26" s="15"/>
      <c r="B26" s="38" t="s">
        <v>51</v>
      </c>
      <c r="C26" s="41">
        <f>C11</f>
        <v>2</v>
      </c>
      <c r="D26" s="235" t="s">
        <v>52</v>
      </c>
      <c r="E26" s="40" t="s">
        <v>64</v>
      </c>
      <c r="F26" s="253">
        <f>2.073*F11*C9/F9</f>
        <v>0.82920000000000005</v>
      </c>
      <c r="G26" s="248" t="s">
        <v>13</v>
      </c>
      <c r="H26" s="15"/>
      <c r="I26" s="15"/>
    </row>
    <row r="27" spans="1:10" ht="15" customHeight="1">
      <c r="A27" s="15"/>
      <c r="B27" s="38" t="s">
        <v>65</v>
      </c>
      <c r="C27" s="254">
        <v>0.74744916750000001</v>
      </c>
      <c r="D27" s="246" t="s">
        <v>7</v>
      </c>
      <c r="E27" s="40" t="s">
        <v>66</v>
      </c>
      <c r="F27" s="253">
        <f>(0.0185-0.00125*F9)*C9/F26</f>
        <v>7.1152918475639162E-2</v>
      </c>
      <c r="G27" s="236" t="s">
        <v>7</v>
      </c>
      <c r="H27" s="15"/>
      <c r="I27" s="15"/>
      <c r="J27" s="241"/>
    </row>
    <row r="28" spans="1:10" ht="15" customHeight="1">
      <c r="A28" s="15"/>
      <c r="B28" s="242"/>
      <c r="C28" s="46"/>
      <c r="D28" s="46"/>
      <c r="E28" s="46"/>
      <c r="F28" s="46"/>
      <c r="G28" s="255"/>
      <c r="H28" s="15"/>
      <c r="I28" s="15"/>
    </row>
    <row r="29" spans="1:10" ht="15" customHeight="1">
      <c r="A29" s="15"/>
      <c r="B29" s="38" t="s">
        <v>67</v>
      </c>
      <c r="C29" s="253">
        <v>0.61829257500000001</v>
      </c>
      <c r="D29" s="246" t="s">
        <v>7</v>
      </c>
      <c r="E29" s="40" t="s">
        <v>68</v>
      </c>
      <c r="F29" s="253">
        <f>H134</f>
        <v>2.1544233934445527E-2</v>
      </c>
      <c r="G29" s="236" t="s">
        <v>7</v>
      </c>
      <c r="H29" s="15"/>
      <c r="I29" s="15"/>
    </row>
    <row r="30" spans="1:10" ht="15" customHeight="1">
      <c r="A30" s="15"/>
      <c r="B30" s="11" t="s">
        <v>69</v>
      </c>
      <c r="C30" s="253">
        <f>I150</f>
        <v>7.9446021415896279E-4</v>
      </c>
      <c r="D30" s="246" t="s">
        <v>7</v>
      </c>
      <c r="E30" s="12" t="s">
        <v>70</v>
      </c>
      <c r="F30" s="253">
        <f>I168</f>
        <v>-5.3109541665897738E-4</v>
      </c>
      <c r="G30" s="236" t="s">
        <v>7</v>
      </c>
      <c r="H30" s="15"/>
      <c r="I30" s="15"/>
    </row>
    <row r="31" spans="1:10" ht="15" customHeight="1">
      <c r="A31" s="15"/>
      <c r="B31" s="256"/>
      <c r="C31" s="257"/>
      <c r="D31" s="238"/>
      <c r="E31" s="258"/>
      <c r="F31" s="259"/>
      <c r="G31" s="260"/>
      <c r="H31" s="15"/>
      <c r="I31" s="15"/>
    </row>
    <row r="32" spans="1:10" ht="15" customHeight="1">
      <c r="A32" s="15"/>
      <c r="B32" s="15"/>
      <c r="C32" s="15"/>
      <c r="D32" s="15"/>
      <c r="E32" s="15"/>
      <c r="F32" s="15"/>
      <c r="G32" s="15"/>
      <c r="H32" s="15"/>
      <c r="I32" s="15"/>
    </row>
    <row r="33" spans="1:9" ht="15" customHeight="1">
      <c r="A33" s="15"/>
      <c r="B33" s="15"/>
      <c r="C33" s="15"/>
      <c r="D33" s="20"/>
      <c r="E33" s="15"/>
      <c r="F33" s="21"/>
      <c r="G33" s="15"/>
      <c r="H33" s="15"/>
      <c r="I33" s="22"/>
    </row>
    <row r="34" spans="1:9" ht="15" customHeight="1">
      <c r="A34" s="15"/>
      <c r="B34" s="63" t="s">
        <v>71</v>
      </c>
      <c r="C34" s="241"/>
      <c r="D34" s="241"/>
      <c r="E34" s="241"/>
      <c r="F34" s="241"/>
      <c r="G34" s="241"/>
      <c r="H34" s="241"/>
      <c r="I34" s="15"/>
    </row>
    <row r="35" spans="1:9" ht="15" customHeight="1">
      <c r="A35" s="15"/>
      <c r="B35" s="229"/>
      <c r="C35" s="241"/>
      <c r="D35" s="241"/>
      <c r="E35" s="241"/>
      <c r="F35" s="241"/>
      <c r="G35" s="241"/>
      <c r="H35" s="241"/>
      <c r="I35" s="15"/>
    </row>
    <row r="36" spans="1:9" ht="15" customHeight="1">
      <c r="A36" s="15"/>
      <c r="B36" s="60" t="s">
        <v>72</v>
      </c>
      <c r="C36" s="36"/>
      <c r="D36" s="36"/>
      <c r="E36" s="36"/>
      <c r="F36" s="36"/>
      <c r="G36" s="36"/>
      <c r="H36" s="37"/>
      <c r="I36" s="15"/>
    </row>
    <row r="37" spans="1:9" ht="15" customHeight="1">
      <c r="A37" s="15"/>
      <c r="B37" s="251">
        <v>1</v>
      </c>
      <c r="C37" s="261">
        <v>8.8049600000000006E-3</v>
      </c>
      <c r="D37" s="73">
        <v>0</v>
      </c>
      <c r="E37" s="73">
        <v>0</v>
      </c>
      <c r="F37" s="73">
        <v>0</v>
      </c>
      <c r="G37" s="73">
        <v>0</v>
      </c>
      <c r="H37" s="262">
        <f t="shared" ref="H37:H46" si="0">C37*($C$27^D37)*($F$10^E37)*($F$11^F37)*($F$9^G37)</f>
        <v>8.8049600000000006E-3</v>
      </c>
      <c r="I37" s="19"/>
    </row>
    <row r="38" spans="1:9" ht="15" customHeight="1">
      <c r="A38" s="15"/>
      <c r="B38" s="242">
        <v>2</v>
      </c>
      <c r="C38" s="263">
        <v>-0.20455400000000001</v>
      </c>
      <c r="D38" s="46">
        <v>1</v>
      </c>
      <c r="E38" s="46">
        <v>0</v>
      </c>
      <c r="F38" s="46">
        <v>0</v>
      </c>
      <c r="G38" s="46">
        <v>0</v>
      </c>
      <c r="H38" s="264">
        <f t="shared" si="0"/>
        <v>-0.152893717008795</v>
      </c>
      <c r="I38" s="19"/>
    </row>
    <row r="39" spans="1:9" ht="15" customHeight="1">
      <c r="A39" s="15"/>
      <c r="B39" s="242">
        <v>3</v>
      </c>
      <c r="C39" s="263">
        <v>0.166351</v>
      </c>
      <c r="D39" s="46">
        <v>0</v>
      </c>
      <c r="E39" s="46">
        <v>1</v>
      </c>
      <c r="F39" s="46">
        <v>0</v>
      </c>
      <c r="G39" s="46">
        <v>0</v>
      </c>
      <c r="H39" s="264">
        <f t="shared" si="0"/>
        <v>0.15803344999999999</v>
      </c>
      <c r="I39" s="19"/>
    </row>
    <row r="40" spans="1:9" ht="15" customHeight="1">
      <c r="A40" s="15"/>
      <c r="B40" s="242">
        <v>4</v>
      </c>
      <c r="C40" s="263">
        <v>0.158114</v>
      </c>
      <c r="D40" s="46">
        <v>0</v>
      </c>
      <c r="E40" s="46">
        <v>2</v>
      </c>
      <c r="F40" s="46">
        <v>0</v>
      </c>
      <c r="G40" s="46">
        <v>0</v>
      </c>
      <c r="H40" s="264">
        <f t="shared" si="0"/>
        <v>0.142697885</v>
      </c>
      <c r="I40" s="19"/>
    </row>
    <row r="41" spans="1:9" ht="15" customHeight="1">
      <c r="A41" s="15"/>
      <c r="B41" s="242">
        <v>5</v>
      </c>
      <c r="C41" s="263">
        <v>-0.14758099999999999</v>
      </c>
      <c r="D41" s="46">
        <v>2</v>
      </c>
      <c r="E41" s="46">
        <v>0</v>
      </c>
      <c r="F41" s="46">
        <v>1</v>
      </c>
      <c r="G41" s="46">
        <v>0</v>
      </c>
      <c r="H41" s="264">
        <f t="shared" si="0"/>
        <v>-2.4735177346611913E-2</v>
      </c>
      <c r="I41" s="19"/>
    </row>
    <row r="42" spans="1:9" ht="15" customHeight="1">
      <c r="A42" s="15"/>
      <c r="B42" s="242">
        <v>6</v>
      </c>
      <c r="C42" s="263">
        <v>-0.48149700000000001</v>
      </c>
      <c r="D42" s="46">
        <v>1</v>
      </c>
      <c r="E42" s="46">
        <v>1</v>
      </c>
      <c r="F42" s="46">
        <v>1</v>
      </c>
      <c r="G42" s="46">
        <v>0</v>
      </c>
      <c r="H42" s="264">
        <f t="shared" si="0"/>
        <v>-0.10256994156406803</v>
      </c>
      <c r="I42" s="19"/>
    </row>
    <row r="43" spans="1:9" ht="15" customHeight="1">
      <c r="A43" s="15"/>
      <c r="B43" s="242">
        <v>7</v>
      </c>
      <c r="C43" s="263">
        <v>0.415437</v>
      </c>
      <c r="D43" s="46">
        <v>0</v>
      </c>
      <c r="E43" s="46">
        <v>2</v>
      </c>
      <c r="F43" s="46">
        <v>1</v>
      </c>
      <c r="G43" s="46">
        <v>0</v>
      </c>
      <c r="H43" s="264">
        <f t="shared" si="0"/>
        <v>0.11247956774999998</v>
      </c>
      <c r="I43" s="19"/>
    </row>
    <row r="44" spans="1:9" ht="15" customHeight="1">
      <c r="A44" s="15"/>
      <c r="B44" s="242">
        <v>8</v>
      </c>
      <c r="C44" s="263">
        <v>1.44043E-2</v>
      </c>
      <c r="D44" s="46">
        <v>0</v>
      </c>
      <c r="E44" s="46">
        <v>0</v>
      </c>
      <c r="F44" s="46">
        <v>0</v>
      </c>
      <c r="G44" s="46">
        <v>1</v>
      </c>
      <c r="H44" s="264">
        <f t="shared" si="0"/>
        <v>4.3212899999999999E-2</v>
      </c>
      <c r="I44" s="19"/>
    </row>
    <row r="45" spans="1:9" ht="15" customHeight="1">
      <c r="A45" s="15"/>
      <c r="B45" s="242">
        <v>9</v>
      </c>
      <c r="C45" s="263">
        <v>-5.3005400000000001E-2</v>
      </c>
      <c r="D45" s="46">
        <v>2</v>
      </c>
      <c r="E45" s="46">
        <v>0</v>
      </c>
      <c r="F45" s="46">
        <v>0</v>
      </c>
      <c r="G45" s="46">
        <v>1</v>
      </c>
      <c r="H45" s="264">
        <f t="shared" si="0"/>
        <v>-8.8839211641613985E-2</v>
      </c>
      <c r="I45" s="19"/>
    </row>
    <row r="46" spans="1:9" ht="15" customHeight="1">
      <c r="A46" s="15"/>
      <c r="B46" s="242">
        <v>10</v>
      </c>
      <c r="C46" s="263">
        <v>1.4348100000000001E-2</v>
      </c>
      <c r="D46" s="46">
        <v>0</v>
      </c>
      <c r="E46" s="46">
        <v>1</v>
      </c>
      <c r="F46" s="46">
        <v>0</v>
      </c>
      <c r="G46" s="46">
        <v>1</v>
      </c>
      <c r="H46" s="264">
        <f t="shared" si="0"/>
        <v>4.0892085000000002E-2</v>
      </c>
      <c r="I46" s="19"/>
    </row>
    <row r="47" spans="1:9" ht="15" customHeight="1">
      <c r="A47" s="15"/>
      <c r="B47" s="242"/>
      <c r="C47" s="263"/>
      <c r="D47" s="46"/>
      <c r="E47" s="46"/>
      <c r="F47" s="46"/>
      <c r="G47" s="46"/>
      <c r="H47" s="264"/>
      <c r="I47" s="19"/>
    </row>
    <row r="48" spans="1:9" ht="15" customHeight="1">
      <c r="A48" s="15"/>
      <c r="B48" s="242">
        <v>11</v>
      </c>
      <c r="C48" s="263">
        <v>6.0682600000000003E-2</v>
      </c>
      <c r="D48" s="46">
        <v>1</v>
      </c>
      <c r="E48" s="46">
        <v>1</v>
      </c>
      <c r="F48" s="46">
        <v>0</v>
      </c>
      <c r="G48" s="46">
        <v>1</v>
      </c>
      <c r="H48" s="264">
        <f t="shared" ref="H48:H57" si="1">C48*($C$27^D48)*($F$10^E48)*($F$11^F48)*($F$9^G48)</f>
        <v>0.12926790272744618</v>
      </c>
      <c r="I48" s="19"/>
    </row>
    <row r="49" spans="1:9" ht="15" customHeight="1">
      <c r="A49" s="15"/>
      <c r="B49" s="242">
        <v>12</v>
      </c>
      <c r="C49" s="263">
        <v>-1.2589400000000001E-2</v>
      </c>
      <c r="D49" s="46">
        <v>0</v>
      </c>
      <c r="E49" s="46">
        <v>0</v>
      </c>
      <c r="F49" s="46">
        <v>1</v>
      </c>
      <c r="G49" s="46">
        <v>1</v>
      </c>
      <c r="H49" s="264">
        <f t="shared" si="1"/>
        <v>-1.1330460000000001E-2</v>
      </c>
      <c r="I49" s="19"/>
    </row>
    <row r="50" spans="1:9" ht="15" customHeight="1">
      <c r="A50" s="15"/>
      <c r="B50" s="242">
        <v>13</v>
      </c>
      <c r="C50" s="263">
        <v>1.09689E-2</v>
      </c>
      <c r="D50" s="46">
        <v>1</v>
      </c>
      <c r="E50" s="46">
        <v>0</v>
      </c>
      <c r="F50" s="46">
        <v>1</v>
      </c>
      <c r="G50" s="46">
        <v>1</v>
      </c>
      <c r="H50" s="264">
        <f t="shared" si="1"/>
        <v>7.3788256560516751E-3</v>
      </c>
      <c r="I50" s="19"/>
    </row>
    <row r="51" spans="1:9" ht="15" customHeight="1">
      <c r="A51" s="15"/>
      <c r="B51" s="242">
        <v>14</v>
      </c>
      <c r="C51" s="263">
        <v>-0.13369800000000001</v>
      </c>
      <c r="D51" s="46">
        <v>0</v>
      </c>
      <c r="E51" s="46">
        <v>3</v>
      </c>
      <c r="F51" s="46">
        <v>0</v>
      </c>
      <c r="G51" s="46">
        <v>0</v>
      </c>
      <c r="H51" s="264">
        <f t="shared" si="1"/>
        <v>-0.11462932275</v>
      </c>
      <c r="I51" s="19"/>
    </row>
    <row r="52" spans="1:9" ht="15" customHeight="1">
      <c r="A52" s="15"/>
      <c r="B52" s="242">
        <v>15</v>
      </c>
      <c r="C52" s="263">
        <v>6.3840700000000004E-3</v>
      </c>
      <c r="D52" s="46">
        <v>0</v>
      </c>
      <c r="E52" s="46">
        <v>6</v>
      </c>
      <c r="F52" s="46">
        <v>0</v>
      </c>
      <c r="G52" s="46">
        <v>0</v>
      </c>
      <c r="H52" s="264">
        <f t="shared" si="1"/>
        <v>4.6928780861823435E-3</v>
      </c>
      <c r="I52" s="19"/>
    </row>
    <row r="53" spans="1:9" ht="15" customHeight="1">
      <c r="A53" s="15"/>
      <c r="B53" s="242">
        <v>16</v>
      </c>
      <c r="C53" s="263">
        <v>-1.3271800000000001E-3</v>
      </c>
      <c r="D53" s="46">
        <v>2</v>
      </c>
      <c r="E53" s="46">
        <v>6</v>
      </c>
      <c r="F53" s="46">
        <v>0</v>
      </c>
      <c r="G53" s="46">
        <v>0</v>
      </c>
      <c r="H53" s="264">
        <f t="shared" si="1"/>
        <v>-5.4504804370783511E-4</v>
      </c>
      <c r="I53" s="19"/>
    </row>
    <row r="54" spans="1:9" ht="15" customHeight="1">
      <c r="A54" s="15"/>
      <c r="B54" s="242">
        <v>17</v>
      </c>
      <c r="C54" s="263">
        <v>0.16849600000000001</v>
      </c>
      <c r="D54" s="46">
        <v>3</v>
      </c>
      <c r="E54" s="46">
        <v>0</v>
      </c>
      <c r="F54" s="46">
        <v>1</v>
      </c>
      <c r="G54" s="46">
        <v>0</v>
      </c>
      <c r="H54" s="264">
        <f t="shared" si="1"/>
        <v>2.1108425386349813E-2</v>
      </c>
      <c r="I54" s="19"/>
    </row>
    <row r="55" spans="1:9" ht="15" customHeight="1">
      <c r="A55" s="15"/>
      <c r="B55" s="242">
        <v>18</v>
      </c>
      <c r="C55" s="263">
        <v>-5.07214E-2</v>
      </c>
      <c r="D55" s="46">
        <v>0</v>
      </c>
      <c r="E55" s="46">
        <v>0</v>
      </c>
      <c r="F55" s="46">
        <v>2</v>
      </c>
      <c r="G55" s="46">
        <v>0</v>
      </c>
      <c r="H55" s="264">
        <f t="shared" si="1"/>
        <v>-4.5649259999999995E-3</v>
      </c>
      <c r="I55" s="19"/>
    </row>
    <row r="56" spans="1:9" ht="15" customHeight="1">
      <c r="A56" s="15"/>
      <c r="B56" s="242">
        <v>19</v>
      </c>
      <c r="C56" s="263">
        <v>8.5455900000000001E-2</v>
      </c>
      <c r="D56" s="46">
        <v>2</v>
      </c>
      <c r="E56" s="46">
        <v>0</v>
      </c>
      <c r="F56" s="46">
        <v>2</v>
      </c>
      <c r="G56" s="46">
        <v>0</v>
      </c>
      <c r="H56" s="264">
        <f t="shared" si="1"/>
        <v>4.2968271833386416E-3</v>
      </c>
      <c r="I56" s="19"/>
    </row>
    <row r="57" spans="1:9" ht="15" customHeight="1">
      <c r="A57" s="15"/>
      <c r="B57" s="242">
        <v>20</v>
      </c>
      <c r="C57" s="263">
        <v>-5.0447499999999999E-2</v>
      </c>
      <c r="D57" s="46">
        <v>3</v>
      </c>
      <c r="E57" s="46">
        <v>0</v>
      </c>
      <c r="F57" s="46">
        <v>2</v>
      </c>
      <c r="G57" s="46">
        <v>0</v>
      </c>
      <c r="H57" s="264">
        <f t="shared" si="1"/>
        <v>-1.8959511614718724E-3</v>
      </c>
      <c r="I57" s="19"/>
    </row>
    <row r="58" spans="1:9" ht="15" customHeight="1">
      <c r="A58" s="15"/>
      <c r="B58" s="242"/>
      <c r="C58" s="263"/>
      <c r="D58" s="46"/>
      <c r="E58" s="46"/>
      <c r="F58" s="46"/>
      <c r="G58" s="46"/>
      <c r="H58" s="264"/>
      <c r="I58" s="19"/>
    </row>
    <row r="59" spans="1:9" ht="15" customHeight="1">
      <c r="A59" s="15"/>
      <c r="B59" s="242">
        <v>21</v>
      </c>
      <c r="C59" s="263">
        <v>1.0465E-2</v>
      </c>
      <c r="D59" s="46">
        <v>1</v>
      </c>
      <c r="E59" s="46">
        <v>6</v>
      </c>
      <c r="F59" s="46">
        <v>2</v>
      </c>
      <c r="G59" s="46">
        <v>0</v>
      </c>
      <c r="H59" s="264">
        <f t="shared" ref="H59:H68" si="2">C59*($C$27^D59)*($F$10^E59)*($F$11^F59)*($F$9^G59)</f>
        <v>5.1749366345275253E-4</v>
      </c>
      <c r="I59" s="19"/>
    </row>
    <row r="60" spans="1:9" ht="15" customHeight="1">
      <c r="A60" s="15"/>
      <c r="B60" s="242">
        <v>22</v>
      </c>
      <c r="C60" s="263">
        <v>-6.48272E-3</v>
      </c>
      <c r="D60" s="46">
        <v>2</v>
      </c>
      <c r="E60" s="46">
        <v>6</v>
      </c>
      <c r="F60" s="46">
        <v>2</v>
      </c>
      <c r="G60" s="46">
        <v>0</v>
      </c>
      <c r="H60" s="264">
        <f t="shared" si="2"/>
        <v>-2.3960988475678441E-4</v>
      </c>
      <c r="I60" s="19"/>
    </row>
    <row r="61" spans="1:9" ht="15" customHeight="1">
      <c r="A61" s="15"/>
      <c r="B61" s="242">
        <v>23</v>
      </c>
      <c r="C61" s="263">
        <v>-8.4172799999999992E-3</v>
      </c>
      <c r="D61" s="46">
        <v>0</v>
      </c>
      <c r="E61" s="46">
        <v>3</v>
      </c>
      <c r="F61" s="46">
        <v>0</v>
      </c>
      <c r="G61" s="46">
        <v>1</v>
      </c>
      <c r="H61" s="264">
        <f t="shared" si="2"/>
        <v>-2.1650296319999995E-2</v>
      </c>
      <c r="I61" s="19"/>
    </row>
    <row r="62" spans="1:9" ht="15" customHeight="1">
      <c r="A62" s="15"/>
      <c r="B62" s="242">
        <v>24</v>
      </c>
      <c r="C62" s="263">
        <v>1.684246E-2</v>
      </c>
      <c r="D62" s="46">
        <v>1</v>
      </c>
      <c r="E62" s="46">
        <v>3</v>
      </c>
      <c r="F62" s="46">
        <v>0</v>
      </c>
      <c r="G62" s="46">
        <v>1</v>
      </c>
      <c r="H62" s="264">
        <f t="shared" si="2"/>
        <v>3.2380179929275277E-2</v>
      </c>
      <c r="I62" s="19"/>
    </row>
    <row r="63" spans="1:9" ht="15" customHeight="1">
      <c r="A63" s="15"/>
      <c r="B63" s="242">
        <v>25</v>
      </c>
      <c r="C63" s="263">
        <v>-1.0229600000000001E-3</v>
      </c>
      <c r="D63" s="46">
        <v>3</v>
      </c>
      <c r="E63" s="46">
        <v>3</v>
      </c>
      <c r="F63" s="46">
        <v>0</v>
      </c>
      <c r="G63" s="46">
        <v>1</v>
      </c>
      <c r="H63" s="264">
        <f t="shared" si="2"/>
        <v>-1.0987419603511266E-3</v>
      </c>
      <c r="I63" s="19"/>
    </row>
    <row r="64" spans="1:9" ht="15" customHeight="1">
      <c r="A64" s="15"/>
      <c r="B64" s="242">
        <v>26</v>
      </c>
      <c r="C64" s="263">
        <v>-3.1779099999999998E-2</v>
      </c>
      <c r="D64" s="46">
        <v>0</v>
      </c>
      <c r="E64" s="46">
        <v>3</v>
      </c>
      <c r="F64" s="46">
        <v>1</v>
      </c>
      <c r="G64" s="46">
        <v>1</v>
      </c>
      <c r="H64" s="264">
        <f t="shared" si="2"/>
        <v>-2.4521945276249998E-2</v>
      </c>
      <c r="I64" s="19"/>
    </row>
    <row r="65" spans="1:9" ht="15" customHeight="1">
      <c r="A65" s="15"/>
      <c r="B65" s="242">
        <v>27</v>
      </c>
      <c r="C65" s="263">
        <v>1.8603999999999999E-2</v>
      </c>
      <c r="D65" s="46">
        <v>1</v>
      </c>
      <c r="E65" s="46">
        <v>0</v>
      </c>
      <c r="F65" s="46">
        <v>2</v>
      </c>
      <c r="G65" s="46">
        <v>1</v>
      </c>
      <c r="H65" s="264">
        <f t="shared" si="2"/>
        <v>3.7544969642858994E-3</v>
      </c>
      <c r="I65" s="19"/>
    </row>
    <row r="66" spans="1:9" ht="15" customHeight="1">
      <c r="A66" s="15"/>
      <c r="B66" s="242">
        <v>28</v>
      </c>
      <c r="C66" s="263">
        <v>-4.1079799999999998E-3</v>
      </c>
      <c r="D66" s="46">
        <v>0</v>
      </c>
      <c r="E66" s="46">
        <v>2</v>
      </c>
      <c r="F66" s="46">
        <v>2</v>
      </c>
      <c r="G66" s="46">
        <v>1</v>
      </c>
      <c r="H66" s="264">
        <f t="shared" si="2"/>
        <v>-1.0010120264999998E-3</v>
      </c>
      <c r="I66" s="19"/>
    </row>
    <row r="67" spans="1:9" ht="15" customHeight="1">
      <c r="A67" s="15"/>
      <c r="B67" s="242">
        <v>29</v>
      </c>
      <c r="C67" s="263">
        <v>-6.06848E-4</v>
      </c>
      <c r="D67" s="46">
        <v>0</v>
      </c>
      <c r="E67" s="46">
        <v>0</v>
      </c>
      <c r="F67" s="46">
        <v>0</v>
      </c>
      <c r="G67" s="46">
        <v>2</v>
      </c>
      <c r="H67" s="264">
        <f t="shared" si="2"/>
        <v>-5.4616320000000001E-3</v>
      </c>
      <c r="I67" s="19"/>
    </row>
    <row r="68" spans="1:9" ht="15" customHeight="1">
      <c r="A68" s="15"/>
      <c r="B68" s="242">
        <v>30</v>
      </c>
      <c r="C68" s="263">
        <v>-4.9819E-3</v>
      </c>
      <c r="D68" s="46">
        <v>1</v>
      </c>
      <c r="E68" s="46">
        <v>0</v>
      </c>
      <c r="F68" s="46">
        <v>0</v>
      </c>
      <c r="G68" s="46">
        <v>2</v>
      </c>
      <c r="H68" s="264">
        <f t="shared" si="2"/>
        <v>-3.3513453068114249E-2</v>
      </c>
      <c r="I68" s="19"/>
    </row>
    <row r="69" spans="1:9" ht="15" customHeight="1">
      <c r="A69" s="15"/>
      <c r="B69" s="242"/>
      <c r="C69" s="263"/>
      <c r="D69" s="46"/>
      <c r="E69" s="46"/>
      <c r="F69" s="46"/>
      <c r="G69" s="46"/>
      <c r="H69" s="264"/>
      <c r="I69" s="19"/>
    </row>
    <row r="70" spans="1:9" ht="15" customHeight="1">
      <c r="A70" s="15"/>
      <c r="B70" s="242">
        <v>31</v>
      </c>
      <c r="C70" s="263">
        <v>2.5983E-3</v>
      </c>
      <c r="D70" s="46">
        <v>2</v>
      </c>
      <c r="E70" s="46">
        <v>0</v>
      </c>
      <c r="F70" s="46">
        <v>0</v>
      </c>
      <c r="G70" s="46">
        <v>2</v>
      </c>
      <c r="H70" s="264">
        <f t="shared" ref="H70:H78" si="3">C70*($C$27^D70)*($F$10^E70)*($F$11^F70)*($F$9^G70)</f>
        <v>1.3064570229169422E-2</v>
      </c>
      <c r="I70" s="19"/>
    </row>
    <row r="71" spans="1:9" ht="15" customHeight="1">
      <c r="A71" s="15"/>
      <c r="B71" s="242">
        <v>32</v>
      </c>
      <c r="C71" s="263">
        <v>-5.6052800000000002E-4</v>
      </c>
      <c r="D71" s="46">
        <v>3</v>
      </c>
      <c r="E71" s="46">
        <v>0</v>
      </c>
      <c r="F71" s="46">
        <v>0</v>
      </c>
      <c r="G71" s="46">
        <v>2</v>
      </c>
      <c r="H71" s="264">
        <f t="shared" si="3"/>
        <v>-2.1066132368056014E-3</v>
      </c>
      <c r="I71" s="19"/>
    </row>
    <row r="72" spans="1:9" ht="15" customHeight="1">
      <c r="A72" s="15"/>
      <c r="B72" s="242">
        <v>33</v>
      </c>
      <c r="C72" s="263">
        <v>-1.63652E-3</v>
      </c>
      <c r="D72" s="46">
        <v>1</v>
      </c>
      <c r="E72" s="46">
        <v>2</v>
      </c>
      <c r="F72" s="46">
        <v>0</v>
      </c>
      <c r="G72" s="46">
        <v>2</v>
      </c>
      <c r="H72" s="264">
        <f t="shared" si="3"/>
        <v>-9.9355679929474441E-3</v>
      </c>
      <c r="I72" s="19"/>
    </row>
    <row r="73" spans="1:9" ht="15" customHeight="1">
      <c r="A73" s="15"/>
      <c r="B73" s="242">
        <v>34</v>
      </c>
      <c r="C73" s="263">
        <v>-3.2878699999999998E-4</v>
      </c>
      <c r="D73" s="46">
        <v>1</v>
      </c>
      <c r="E73" s="46">
        <v>6</v>
      </c>
      <c r="F73" s="46">
        <v>0</v>
      </c>
      <c r="G73" s="46">
        <v>2</v>
      </c>
      <c r="H73" s="264">
        <f t="shared" si="3"/>
        <v>-1.6258498721991414E-3</v>
      </c>
      <c r="I73" s="19"/>
    </row>
    <row r="74" spans="1:9" ht="15" customHeight="1">
      <c r="A74" s="15"/>
      <c r="B74" s="242">
        <v>35</v>
      </c>
      <c r="C74" s="263">
        <v>1.16502E-4</v>
      </c>
      <c r="D74" s="46">
        <v>2</v>
      </c>
      <c r="E74" s="46">
        <v>6</v>
      </c>
      <c r="F74" s="46">
        <v>0</v>
      </c>
      <c r="G74" s="46">
        <v>2</v>
      </c>
      <c r="H74" s="264">
        <f t="shared" si="3"/>
        <v>4.3060676373397113E-4</v>
      </c>
      <c r="I74" s="19"/>
    </row>
    <row r="75" spans="1:9" ht="15" customHeight="1">
      <c r="A75" s="15"/>
      <c r="B75" s="242">
        <v>36</v>
      </c>
      <c r="C75" s="263">
        <v>6.90904E-4</v>
      </c>
      <c r="D75" s="46">
        <v>0</v>
      </c>
      <c r="E75" s="46">
        <v>0</v>
      </c>
      <c r="F75" s="46">
        <v>1</v>
      </c>
      <c r="G75" s="46">
        <v>2</v>
      </c>
      <c r="H75" s="264">
        <f t="shared" si="3"/>
        <v>1.8654407999999999E-3</v>
      </c>
      <c r="I75" s="19"/>
    </row>
    <row r="76" spans="1:9" ht="15" customHeight="1">
      <c r="A76" s="15"/>
      <c r="B76" s="242">
        <v>37</v>
      </c>
      <c r="C76" s="263">
        <v>4.21749E-3</v>
      </c>
      <c r="D76" s="46">
        <v>0</v>
      </c>
      <c r="E76" s="46">
        <v>3</v>
      </c>
      <c r="F76" s="46">
        <v>1</v>
      </c>
      <c r="G76" s="46">
        <v>2</v>
      </c>
      <c r="H76" s="264">
        <f t="shared" si="3"/>
        <v>9.7631203196249985E-3</v>
      </c>
      <c r="I76" s="19"/>
    </row>
    <row r="77" spans="1:9" ht="15" customHeight="1">
      <c r="A77" s="15"/>
      <c r="B77" s="242">
        <v>38</v>
      </c>
      <c r="C77" s="263">
        <v>5.6522289999999999E-5</v>
      </c>
      <c r="D77" s="46">
        <v>3</v>
      </c>
      <c r="E77" s="46">
        <v>6</v>
      </c>
      <c r="F77" s="46">
        <v>1</v>
      </c>
      <c r="G77" s="46">
        <v>2</v>
      </c>
      <c r="H77" s="264">
        <f t="shared" si="3"/>
        <v>4.6845743098119479E-5</v>
      </c>
      <c r="I77" s="19"/>
    </row>
    <row r="78" spans="1:9" ht="15" customHeight="1">
      <c r="A78" s="15"/>
      <c r="B78" s="265">
        <v>39</v>
      </c>
      <c r="C78" s="266">
        <v>-1.46564E-3</v>
      </c>
      <c r="D78" s="267">
        <v>0</v>
      </c>
      <c r="E78" s="267">
        <v>3</v>
      </c>
      <c r="F78" s="267">
        <v>2</v>
      </c>
      <c r="G78" s="267">
        <v>2</v>
      </c>
      <c r="H78" s="268">
        <f t="shared" si="3"/>
        <v>-1.0178485069499998E-3</v>
      </c>
      <c r="I78" s="19"/>
    </row>
    <row r="79" spans="1:9" ht="15" customHeight="1">
      <c r="A79" s="15"/>
      <c r="B79" s="256"/>
      <c r="C79" s="269"/>
      <c r="D79" s="258"/>
      <c r="E79" s="258"/>
      <c r="F79" s="258"/>
      <c r="G79" s="64" t="s">
        <v>73</v>
      </c>
      <c r="H79" s="323">
        <f>SUM(H37:H78)</f>
        <v>0.13051213554086616</v>
      </c>
      <c r="I79" s="19"/>
    </row>
    <row r="80" spans="1:9" ht="15" customHeight="1">
      <c r="A80" s="15"/>
      <c r="B80" s="250"/>
      <c r="C80" s="270"/>
      <c r="D80" s="250"/>
      <c r="E80" s="250"/>
      <c r="F80" s="250"/>
      <c r="G80" s="66"/>
      <c r="H80" s="67"/>
      <c r="I80" s="19"/>
    </row>
    <row r="81" spans="1:9" ht="15" customHeight="1">
      <c r="A81" s="15"/>
      <c r="B81" s="250"/>
      <c r="C81" s="270"/>
      <c r="D81" s="250"/>
      <c r="E81" s="250"/>
      <c r="F81" s="250"/>
      <c r="G81" s="250"/>
      <c r="H81" s="250"/>
      <c r="I81" s="19"/>
    </row>
    <row r="82" spans="1:9" ht="15" customHeight="1">
      <c r="A82" s="15"/>
      <c r="B82" s="60" t="s">
        <v>74</v>
      </c>
      <c r="C82" s="36"/>
      <c r="D82" s="36"/>
      <c r="E82" s="36"/>
      <c r="F82" s="36"/>
      <c r="G82" s="36"/>
      <c r="H82" s="37"/>
      <c r="I82" s="19"/>
    </row>
    <row r="83" spans="1:9" ht="15" customHeight="1">
      <c r="A83" s="15"/>
      <c r="B83" s="251">
        <v>1</v>
      </c>
      <c r="C83" s="261">
        <v>3.7936799999999998E-3</v>
      </c>
      <c r="D83" s="73">
        <v>0</v>
      </c>
      <c r="E83" s="73">
        <v>0</v>
      </c>
      <c r="F83" s="73">
        <v>0</v>
      </c>
      <c r="G83" s="73">
        <v>0</v>
      </c>
      <c r="H83" s="262">
        <f t="shared" ref="H83:H92" si="4">C83*($C$27^D83)*($F$10^E83)*($F$11^F83)*($F$9^G83)</f>
        <v>3.7936799999999998E-3</v>
      </c>
      <c r="I83" s="19"/>
    </row>
    <row r="84" spans="1:9" ht="15" customHeight="1">
      <c r="A84" s="15"/>
      <c r="B84" s="242">
        <v>2</v>
      </c>
      <c r="C84" s="263">
        <v>8.86523E-3</v>
      </c>
      <c r="D84" s="46">
        <v>2</v>
      </c>
      <c r="E84" s="46">
        <v>0</v>
      </c>
      <c r="F84" s="46">
        <v>0</v>
      </c>
      <c r="G84" s="46">
        <v>0</v>
      </c>
      <c r="H84" s="264">
        <f t="shared" si="4"/>
        <v>4.9528289835978068E-3</v>
      </c>
      <c r="I84" s="19"/>
    </row>
    <row r="85" spans="1:9" ht="15" customHeight="1">
      <c r="A85" s="15"/>
      <c r="B85" s="242">
        <v>3</v>
      </c>
      <c r="C85" s="263">
        <v>-3.2240999999999999E-2</v>
      </c>
      <c r="D85" s="46">
        <v>1</v>
      </c>
      <c r="E85" s="46">
        <v>1</v>
      </c>
      <c r="F85" s="46">
        <v>0</v>
      </c>
      <c r="G85" s="46">
        <v>0</v>
      </c>
      <c r="H85" s="264">
        <f t="shared" si="4"/>
        <v>-2.2893583178899123E-2</v>
      </c>
      <c r="I85" s="19"/>
    </row>
    <row r="86" spans="1:9" ht="15" customHeight="1">
      <c r="A86" s="15"/>
      <c r="B86" s="242">
        <v>4</v>
      </c>
      <c r="C86" s="263">
        <v>3.4477800000000001E-3</v>
      </c>
      <c r="D86" s="46">
        <v>0</v>
      </c>
      <c r="E86" s="46">
        <v>2</v>
      </c>
      <c r="F86" s="46">
        <v>0</v>
      </c>
      <c r="G86" s="46">
        <v>0</v>
      </c>
      <c r="H86" s="264">
        <f t="shared" si="4"/>
        <v>3.1116214500000001E-3</v>
      </c>
      <c r="I86" s="19"/>
    </row>
    <row r="87" spans="1:9" ht="15" customHeight="1">
      <c r="A87" s="15"/>
      <c r="B87" s="242">
        <v>5</v>
      </c>
      <c r="C87" s="263">
        <v>-4.0881099999999997E-2</v>
      </c>
      <c r="D87" s="46">
        <v>0</v>
      </c>
      <c r="E87" s="46">
        <v>1</v>
      </c>
      <c r="F87" s="46">
        <v>1</v>
      </c>
      <c r="G87" s="46">
        <v>0</v>
      </c>
      <c r="H87" s="264">
        <f t="shared" si="4"/>
        <v>-1.1651113499999997E-2</v>
      </c>
      <c r="I87" s="19"/>
    </row>
    <row r="88" spans="1:9" ht="15" customHeight="1">
      <c r="A88" s="15"/>
      <c r="B88" s="242">
        <v>6</v>
      </c>
      <c r="C88" s="263">
        <v>-0.10800899999999999</v>
      </c>
      <c r="D88" s="46">
        <v>1</v>
      </c>
      <c r="E88" s="46">
        <v>1</v>
      </c>
      <c r="F88" s="46">
        <v>1</v>
      </c>
      <c r="G88" s="46">
        <v>0</v>
      </c>
      <c r="H88" s="264">
        <f t="shared" si="4"/>
        <v>-2.3008402582764636E-2</v>
      </c>
      <c r="I88" s="19"/>
    </row>
    <row r="89" spans="1:9" ht="15" customHeight="1">
      <c r="A89" s="15"/>
      <c r="B89" s="242">
        <v>7</v>
      </c>
      <c r="C89" s="263">
        <v>-8.8538099999999995E-2</v>
      </c>
      <c r="D89" s="46">
        <v>2</v>
      </c>
      <c r="E89" s="46">
        <v>1</v>
      </c>
      <c r="F89" s="46">
        <v>1</v>
      </c>
      <c r="G89" s="46">
        <v>0</v>
      </c>
      <c r="H89" s="264">
        <f t="shared" si="4"/>
        <v>-1.4097379236896737E-2</v>
      </c>
      <c r="I89" s="19"/>
    </row>
    <row r="90" spans="1:9" ht="15" customHeight="1">
      <c r="A90" s="15"/>
      <c r="B90" s="242">
        <v>8</v>
      </c>
      <c r="C90" s="263">
        <v>0.18856100000000001</v>
      </c>
      <c r="D90" s="46">
        <v>0</v>
      </c>
      <c r="E90" s="46">
        <v>2</v>
      </c>
      <c r="F90" s="46">
        <v>1</v>
      </c>
      <c r="G90" s="46">
        <v>0</v>
      </c>
      <c r="H90" s="264">
        <f t="shared" si="4"/>
        <v>5.1052890749999996E-2</v>
      </c>
      <c r="I90" s="19"/>
    </row>
    <row r="91" spans="1:9" ht="15" customHeight="1">
      <c r="A91" s="15"/>
      <c r="B91" s="242">
        <v>9</v>
      </c>
      <c r="C91" s="263">
        <v>-3.70871E-3</v>
      </c>
      <c r="D91" s="46">
        <v>1</v>
      </c>
      <c r="E91" s="46">
        <v>0</v>
      </c>
      <c r="F91" s="46">
        <v>0</v>
      </c>
      <c r="G91" s="46">
        <v>1</v>
      </c>
      <c r="H91" s="264">
        <f t="shared" si="4"/>
        <v>-8.3162166059967749E-3</v>
      </c>
      <c r="I91" s="19"/>
    </row>
    <row r="92" spans="1:9" ht="15" customHeight="1">
      <c r="A92" s="15"/>
      <c r="B92" s="242">
        <v>10</v>
      </c>
      <c r="C92" s="263">
        <v>5.1369600000000003E-3</v>
      </c>
      <c r="D92" s="46">
        <v>0</v>
      </c>
      <c r="E92" s="46">
        <v>1</v>
      </c>
      <c r="F92" s="46">
        <v>0</v>
      </c>
      <c r="G92" s="46">
        <v>1</v>
      </c>
      <c r="H92" s="264">
        <f t="shared" si="4"/>
        <v>1.4640336E-2</v>
      </c>
      <c r="I92" s="19"/>
    </row>
    <row r="93" spans="1:9" ht="15" customHeight="1">
      <c r="A93" s="15"/>
      <c r="B93" s="242"/>
      <c r="C93" s="263"/>
      <c r="D93" s="46"/>
      <c r="E93" s="46"/>
      <c r="F93" s="46"/>
      <c r="G93" s="46"/>
      <c r="H93" s="264"/>
      <c r="I93" s="19"/>
    </row>
    <row r="94" spans="1:9" ht="15" customHeight="1">
      <c r="A94" s="15"/>
      <c r="B94" s="242">
        <v>11</v>
      </c>
      <c r="C94" s="263">
        <v>2.0944899999999999E-2</v>
      </c>
      <c r="D94" s="46">
        <v>1</v>
      </c>
      <c r="E94" s="46">
        <v>1</v>
      </c>
      <c r="F94" s="46">
        <v>0</v>
      </c>
      <c r="G94" s="46">
        <v>1</v>
      </c>
      <c r="H94" s="264">
        <f t="shared" ref="H94:H103" si="5">C94*($C$27^D94)*($F$10^E94)*($F$11^F94)*($F$9^G94)</f>
        <v>4.4617456994856641E-2</v>
      </c>
      <c r="I94" s="19"/>
    </row>
    <row r="95" spans="1:9" ht="15" customHeight="1">
      <c r="A95" s="15"/>
      <c r="B95" s="242">
        <v>12</v>
      </c>
      <c r="C95" s="263">
        <v>4.7431900000000004E-3</v>
      </c>
      <c r="D95" s="46">
        <v>2</v>
      </c>
      <c r="E95" s="46">
        <v>1</v>
      </c>
      <c r="F95" s="46">
        <v>0</v>
      </c>
      <c r="G95" s="46">
        <v>1</v>
      </c>
      <c r="H95" s="264">
        <f t="shared" si="5"/>
        <v>7.5522908468395253E-3</v>
      </c>
      <c r="I95" s="19"/>
    </row>
    <row r="96" spans="1:9" ht="15" customHeight="1">
      <c r="A96" s="15"/>
      <c r="B96" s="242">
        <v>13</v>
      </c>
      <c r="C96" s="263">
        <v>-7.2340800000000004E-3</v>
      </c>
      <c r="D96" s="46">
        <v>2</v>
      </c>
      <c r="E96" s="46">
        <v>0</v>
      </c>
      <c r="F96" s="46">
        <v>1</v>
      </c>
      <c r="G96" s="46">
        <v>1</v>
      </c>
      <c r="H96" s="264">
        <f t="shared" si="5"/>
        <v>-3.6373839126902178E-3</v>
      </c>
      <c r="I96" s="19"/>
    </row>
    <row r="97" spans="1:9" ht="15" customHeight="1">
      <c r="A97" s="15"/>
      <c r="B97" s="242">
        <v>14</v>
      </c>
      <c r="C97" s="263">
        <v>4.3838799999999997E-3</v>
      </c>
      <c r="D97" s="46">
        <v>1</v>
      </c>
      <c r="E97" s="46">
        <v>1</v>
      </c>
      <c r="F97" s="46">
        <v>1</v>
      </c>
      <c r="G97" s="46">
        <v>1</v>
      </c>
      <c r="H97" s="264">
        <f t="shared" si="5"/>
        <v>2.8016019752390145E-3</v>
      </c>
      <c r="I97" s="19"/>
    </row>
    <row r="98" spans="1:9" ht="15" customHeight="1">
      <c r="A98" s="15"/>
      <c r="B98" s="242">
        <v>15</v>
      </c>
      <c r="C98" s="263">
        <v>-2.69403E-2</v>
      </c>
      <c r="D98" s="46">
        <v>0</v>
      </c>
      <c r="E98" s="46">
        <v>2</v>
      </c>
      <c r="F98" s="46">
        <v>1</v>
      </c>
      <c r="G98" s="46">
        <v>1</v>
      </c>
      <c r="H98" s="264">
        <f t="shared" si="5"/>
        <v>-2.1882258674999999E-2</v>
      </c>
      <c r="I98" s="19"/>
    </row>
    <row r="99" spans="1:9" ht="15" customHeight="1">
      <c r="A99" s="15"/>
      <c r="B99" s="242">
        <v>16</v>
      </c>
      <c r="C99" s="263">
        <v>5.5808200000000002E-2</v>
      </c>
      <c r="D99" s="46">
        <v>3</v>
      </c>
      <c r="E99" s="46">
        <v>0</v>
      </c>
      <c r="F99" s="46">
        <v>1</v>
      </c>
      <c r="G99" s="46">
        <v>0</v>
      </c>
      <c r="H99" s="264">
        <f t="shared" si="5"/>
        <v>6.9914017285068351E-3</v>
      </c>
      <c r="I99" s="19"/>
    </row>
    <row r="100" spans="1:9" ht="15" customHeight="1">
      <c r="A100" s="15"/>
      <c r="B100" s="242">
        <v>17</v>
      </c>
      <c r="C100" s="263">
        <v>1.6188600000000001E-2</v>
      </c>
      <c r="D100" s="46">
        <v>0</v>
      </c>
      <c r="E100" s="46">
        <v>3</v>
      </c>
      <c r="F100" s="46">
        <v>1</v>
      </c>
      <c r="G100" s="46">
        <v>0</v>
      </c>
      <c r="H100" s="264">
        <f t="shared" si="5"/>
        <v>4.1639102774999994E-3</v>
      </c>
      <c r="I100" s="19"/>
    </row>
    <row r="101" spans="1:9" ht="15" customHeight="1">
      <c r="A101" s="15"/>
      <c r="B101" s="242">
        <v>18</v>
      </c>
      <c r="C101" s="263">
        <v>3.1808600000000002E-3</v>
      </c>
      <c r="D101" s="46">
        <v>1</v>
      </c>
      <c r="E101" s="46">
        <v>3</v>
      </c>
      <c r="F101" s="46">
        <v>1</v>
      </c>
      <c r="G101" s="46">
        <v>0</v>
      </c>
      <c r="H101" s="264">
        <f t="shared" si="5"/>
        <v>6.1153073321732431E-4</v>
      </c>
      <c r="I101" s="19"/>
    </row>
    <row r="102" spans="1:9" ht="15" customHeight="1">
      <c r="A102" s="15"/>
      <c r="B102" s="242">
        <v>19</v>
      </c>
      <c r="C102" s="263">
        <v>1.5896E-2</v>
      </c>
      <c r="D102" s="46">
        <v>0</v>
      </c>
      <c r="E102" s="46">
        <v>0</v>
      </c>
      <c r="F102" s="46">
        <v>2</v>
      </c>
      <c r="G102" s="46">
        <v>0</v>
      </c>
      <c r="H102" s="264">
        <f t="shared" si="5"/>
        <v>1.4306399999999999E-3</v>
      </c>
      <c r="I102" s="19"/>
    </row>
    <row r="103" spans="1:9" ht="15" customHeight="1">
      <c r="A103" s="15"/>
      <c r="B103" s="242">
        <v>20</v>
      </c>
      <c r="C103" s="263">
        <v>4.7172899999999997E-2</v>
      </c>
      <c r="D103" s="46">
        <v>1</v>
      </c>
      <c r="E103" s="46">
        <v>0</v>
      </c>
      <c r="F103" s="46">
        <v>2</v>
      </c>
      <c r="G103" s="46">
        <v>0</v>
      </c>
      <c r="H103" s="264">
        <f t="shared" si="5"/>
        <v>3.1733410350204671E-3</v>
      </c>
      <c r="I103" s="19"/>
    </row>
    <row r="104" spans="1:9" ht="15" customHeight="1">
      <c r="A104" s="15"/>
      <c r="B104" s="242"/>
      <c r="C104" s="263"/>
      <c r="D104" s="46"/>
      <c r="E104" s="46"/>
      <c r="F104" s="46"/>
      <c r="G104" s="46"/>
      <c r="H104" s="264"/>
      <c r="I104" s="19"/>
    </row>
    <row r="105" spans="1:9" ht="15" customHeight="1">
      <c r="A105" s="15"/>
      <c r="B105" s="242">
        <v>21</v>
      </c>
      <c r="C105" s="263">
        <v>1.9628300000000001E-2</v>
      </c>
      <c r="D105" s="46">
        <v>3</v>
      </c>
      <c r="E105" s="46">
        <v>0</v>
      </c>
      <c r="F105" s="46">
        <v>2</v>
      </c>
      <c r="G105" s="46">
        <v>0</v>
      </c>
      <c r="H105" s="264">
        <f t="shared" ref="H105:H114" si="6">C105*($C$27^D105)*($F$10^E105)*($F$11^F105)*($F$9^G105)</f>
        <v>7.3768369458780637E-4</v>
      </c>
      <c r="I105" s="19"/>
    </row>
    <row r="106" spans="1:9" ht="15" customHeight="1">
      <c r="A106" s="15"/>
      <c r="B106" s="242">
        <v>22</v>
      </c>
      <c r="C106" s="263">
        <v>-5.0278200000000002E-2</v>
      </c>
      <c r="D106" s="46">
        <v>0</v>
      </c>
      <c r="E106" s="46">
        <v>1</v>
      </c>
      <c r="F106" s="46">
        <v>2</v>
      </c>
      <c r="G106" s="46">
        <v>0</v>
      </c>
      <c r="H106" s="264">
        <f t="shared" si="6"/>
        <v>-4.2987861000000002E-3</v>
      </c>
      <c r="I106" s="19"/>
    </row>
    <row r="107" spans="1:9" ht="15" customHeight="1">
      <c r="A107" s="15"/>
      <c r="B107" s="242">
        <v>23</v>
      </c>
      <c r="C107" s="263">
        <v>-3.0054999999999998E-2</v>
      </c>
      <c r="D107" s="46">
        <v>3</v>
      </c>
      <c r="E107" s="46">
        <v>1</v>
      </c>
      <c r="F107" s="46">
        <v>2</v>
      </c>
      <c r="G107" s="46">
        <v>0</v>
      </c>
      <c r="H107" s="264">
        <f t="shared" si="6"/>
        <v>-1.073069459341598E-3</v>
      </c>
      <c r="I107" s="19"/>
    </row>
    <row r="108" spans="1:9" ht="15" customHeight="1">
      <c r="A108" s="15"/>
      <c r="B108" s="242">
        <v>24</v>
      </c>
      <c r="C108" s="263">
        <v>4.1712199999999998E-2</v>
      </c>
      <c r="D108" s="46">
        <v>2</v>
      </c>
      <c r="E108" s="46">
        <v>2</v>
      </c>
      <c r="F108" s="46">
        <v>2</v>
      </c>
      <c r="G108" s="46">
        <v>0</v>
      </c>
      <c r="H108" s="264">
        <f t="shared" si="6"/>
        <v>1.8928497463634973E-3</v>
      </c>
      <c r="I108" s="19"/>
    </row>
    <row r="109" spans="1:9" ht="15" customHeight="1">
      <c r="A109" s="15"/>
      <c r="B109" s="242">
        <v>25</v>
      </c>
      <c r="C109" s="263">
        <v>-3.9772200000000001E-2</v>
      </c>
      <c r="D109" s="46">
        <v>0</v>
      </c>
      <c r="E109" s="46">
        <v>3</v>
      </c>
      <c r="F109" s="46">
        <v>2</v>
      </c>
      <c r="G109" s="46">
        <v>0</v>
      </c>
      <c r="H109" s="264">
        <f t="shared" si="6"/>
        <v>-3.0689720977499992E-3</v>
      </c>
      <c r="I109" s="19"/>
    </row>
    <row r="110" spans="1:9" ht="15" customHeight="1">
      <c r="A110" s="15"/>
      <c r="B110" s="242">
        <v>26</v>
      </c>
      <c r="C110" s="263">
        <v>-3.5002399999999999E-3</v>
      </c>
      <c r="D110" s="46">
        <v>0</v>
      </c>
      <c r="E110" s="46">
        <v>6</v>
      </c>
      <c r="F110" s="46">
        <v>2</v>
      </c>
      <c r="G110" s="46">
        <v>0</v>
      </c>
      <c r="H110" s="264">
        <f t="shared" si="6"/>
        <v>-2.3156982353171246E-4</v>
      </c>
      <c r="I110" s="19"/>
    </row>
    <row r="111" spans="1:9" ht="15" customHeight="1">
      <c r="A111" s="15"/>
      <c r="B111" s="242">
        <v>27</v>
      </c>
      <c r="C111" s="263">
        <v>-1.0685399999999999E-2</v>
      </c>
      <c r="D111" s="46">
        <v>3</v>
      </c>
      <c r="E111" s="46">
        <v>0</v>
      </c>
      <c r="F111" s="46">
        <v>0</v>
      </c>
      <c r="G111" s="46">
        <v>1</v>
      </c>
      <c r="H111" s="264">
        <f t="shared" si="6"/>
        <v>-1.3386191281888133E-2</v>
      </c>
      <c r="I111" s="19"/>
    </row>
    <row r="112" spans="1:9" ht="15" customHeight="1">
      <c r="A112" s="15"/>
      <c r="B112" s="242">
        <v>28</v>
      </c>
      <c r="C112" s="263">
        <v>1.10903E-3</v>
      </c>
      <c r="D112" s="46">
        <v>3</v>
      </c>
      <c r="E112" s="46">
        <v>3</v>
      </c>
      <c r="F112" s="46">
        <v>0</v>
      </c>
      <c r="G112" s="46">
        <v>1</v>
      </c>
      <c r="H112" s="264">
        <f t="shared" si="6"/>
        <v>1.1911881171191541E-3</v>
      </c>
      <c r="I112" s="19"/>
    </row>
    <row r="113" spans="1:9" ht="15" customHeight="1">
      <c r="A113" s="15"/>
      <c r="B113" s="242">
        <v>29</v>
      </c>
      <c r="C113" s="263">
        <v>-3.1391200000000001E-4</v>
      </c>
      <c r="D113" s="46">
        <v>0</v>
      </c>
      <c r="E113" s="46">
        <v>6</v>
      </c>
      <c r="F113" s="46">
        <v>0</v>
      </c>
      <c r="G113" s="46">
        <v>1</v>
      </c>
      <c r="H113" s="264">
        <f t="shared" si="6"/>
        <v>-6.9226249670962495E-4</v>
      </c>
      <c r="I113" s="19"/>
    </row>
    <row r="114" spans="1:9" ht="15" customHeight="1">
      <c r="A114" s="15"/>
      <c r="B114" s="242">
        <v>30</v>
      </c>
      <c r="C114" s="263">
        <v>3.5985000000000001E-3</v>
      </c>
      <c r="D114" s="46">
        <v>3</v>
      </c>
      <c r="E114" s="46">
        <v>0</v>
      </c>
      <c r="F114" s="46">
        <v>1</v>
      </c>
      <c r="G114" s="46">
        <v>1</v>
      </c>
      <c r="H114" s="264">
        <f t="shared" si="6"/>
        <v>1.3524119638349836E-3</v>
      </c>
      <c r="I114" s="19"/>
    </row>
    <row r="115" spans="1:9" ht="15" customHeight="1">
      <c r="A115" s="15"/>
      <c r="B115" s="242"/>
      <c r="C115" s="263"/>
      <c r="D115" s="46"/>
      <c r="E115" s="46"/>
      <c r="F115" s="46"/>
      <c r="G115" s="46"/>
      <c r="H115" s="264"/>
      <c r="I115" s="19"/>
    </row>
    <row r="116" spans="1:9" ht="15" customHeight="1">
      <c r="A116" s="15"/>
      <c r="B116" s="242">
        <v>31</v>
      </c>
      <c r="C116" s="263">
        <v>-1.42121E-3</v>
      </c>
      <c r="D116" s="46">
        <v>0</v>
      </c>
      <c r="E116" s="46">
        <v>6</v>
      </c>
      <c r="F116" s="46">
        <v>1</v>
      </c>
      <c r="G116" s="46">
        <v>1</v>
      </c>
      <c r="H116" s="264">
        <f t="shared" ref="H116:H125" si="7">C116*($C$27^D116)*($F$10^E116)*($F$11^F116)*($F$9^G116)</f>
        <v>-9.4024795128764052E-4</v>
      </c>
      <c r="I116" s="19"/>
    </row>
    <row r="117" spans="1:9" ht="15" customHeight="1">
      <c r="A117" s="15"/>
      <c r="B117" s="242">
        <v>32</v>
      </c>
      <c r="C117" s="263">
        <v>-3.83637E-3</v>
      </c>
      <c r="D117" s="46">
        <v>1</v>
      </c>
      <c r="E117" s="46">
        <v>0</v>
      </c>
      <c r="F117" s="46">
        <v>2</v>
      </c>
      <c r="G117" s="46">
        <v>1</v>
      </c>
      <c r="H117" s="264">
        <f t="shared" si="7"/>
        <v>-7.7422272193493325E-4</v>
      </c>
      <c r="I117" s="19"/>
    </row>
    <row r="118" spans="1:9" ht="15" customHeight="1">
      <c r="A118" s="15"/>
      <c r="B118" s="242">
        <v>33</v>
      </c>
      <c r="C118" s="263">
        <v>1.26803E-2</v>
      </c>
      <c r="D118" s="46">
        <v>0</v>
      </c>
      <c r="E118" s="46">
        <v>2</v>
      </c>
      <c r="F118" s="46">
        <v>2</v>
      </c>
      <c r="G118" s="46">
        <v>1</v>
      </c>
      <c r="H118" s="264">
        <f t="shared" si="7"/>
        <v>3.0898721024999994E-3</v>
      </c>
      <c r="I118" s="19"/>
    </row>
    <row r="119" spans="1:9" ht="15" customHeight="1">
      <c r="A119" s="15"/>
      <c r="B119" s="242">
        <v>34</v>
      </c>
      <c r="C119" s="263">
        <v>-3.1827800000000001E-3</v>
      </c>
      <c r="D119" s="46">
        <v>2</v>
      </c>
      <c r="E119" s="46">
        <v>3</v>
      </c>
      <c r="F119" s="46">
        <v>2</v>
      </c>
      <c r="G119" s="46">
        <v>1</v>
      </c>
      <c r="H119" s="264">
        <f t="shared" si="7"/>
        <v>-4.1162763651480421E-4</v>
      </c>
      <c r="I119" s="19"/>
    </row>
    <row r="120" spans="1:9" ht="15" customHeight="1">
      <c r="A120" s="15"/>
      <c r="B120" s="242">
        <v>35</v>
      </c>
      <c r="C120" s="263">
        <v>3.3426799999999998E-3</v>
      </c>
      <c r="D120" s="46">
        <v>0</v>
      </c>
      <c r="E120" s="46">
        <v>6</v>
      </c>
      <c r="F120" s="46">
        <v>2</v>
      </c>
      <c r="G120" s="46">
        <v>1</v>
      </c>
      <c r="H120" s="264">
        <f t="shared" si="7"/>
        <v>6.6343777945768103E-4</v>
      </c>
      <c r="I120" s="19"/>
    </row>
    <row r="121" spans="1:9" ht="15" customHeight="1">
      <c r="A121" s="15"/>
      <c r="B121" s="242">
        <v>36</v>
      </c>
      <c r="C121" s="263">
        <v>-1.8349099999999999E-3</v>
      </c>
      <c r="D121" s="46">
        <v>1</v>
      </c>
      <c r="E121" s="46">
        <v>1</v>
      </c>
      <c r="F121" s="46">
        <v>0</v>
      </c>
      <c r="G121" s="46">
        <v>2</v>
      </c>
      <c r="H121" s="264">
        <f t="shared" si="7"/>
        <v>-1.1726341689064983E-2</v>
      </c>
      <c r="I121" s="19"/>
    </row>
    <row r="122" spans="1:9" ht="15" customHeight="1">
      <c r="A122" s="15"/>
      <c r="B122" s="242">
        <v>37</v>
      </c>
      <c r="C122" s="263">
        <v>1.12451E-4</v>
      </c>
      <c r="D122" s="46">
        <v>3</v>
      </c>
      <c r="E122" s="46">
        <v>2</v>
      </c>
      <c r="F122" s="46">
        <v>0</v>
      </c>
      <c r="G122" s="46">
        <v>2</v>
      </c>
      <c r="H122" s="264">
        <f t="shared" si="7"/>
        <v>3.8141522902612198E-4</v>
      </c>
      <c r="I122" s="19"/>
    </row>
    <row r="123" spans="1:9" ht="15" customHeight="1">
      <c r="A123" s="15"/>
      <c r="B123" s="242">
        <v>38</v>
      </c>
      <c r="C123" s="263">
        <v>-2.9722799999999999E-5</v>
      </c>
      <c r="D123" s="46">
        <v>3</v>
      </c>
      <c r="E123" s="46">
        <v>6</v>
      </c>
      <c r="F123" s="46">
        <v>0</v>
      </c>
      <c r="G123" s="46">
        <v>2</v>
      </c>
      <c r="H123" s="264">
        <f t="shared" si="7"/>
        <v>-8.2114310003881391E-5</v>
      </c>
      <c r="I123" s="19"/>
    </row>
    <row r="124" spans="1:9" ht="15" customHeight="1">
      <c r="A124" s="15"/>
      <c r="B124" s="242">
        <v>39</v>
      </c>
      <c r="C124" s="263">
        <v>2.6955099999999998E-4</v>
      </c>
      <c r="D124" s="46">
        <v>1</v>
      </c>
      <c r="E124" s="46">
        <v>0</v>
      </c>
      <c r="F124" s="46">
        <v>1</v>
      </c>
      <c r="G124" s="46">
        <v>2</v>
      </c>
      <c r="H124" s="264">
        <f t="shared" si="7"/>
        <v>5.4398431048173967E-4</v>
      </c>
      <c r="I124" s="19"/>
    </row>
    <row r="125" spans="1:9" ht="15" customHeight="1">
      <c r="A125" s="15"/>
      <c r="B125" s="242">
        <v>40</v>
      </c>
      <c r="C125" s="263">
        <v>8.3264999999999999E-4</v>
      </c>
      <c r="D125" s="46">
        <v>2</v>
      </c>
      <c r="E125" s="46">
        <v>0</v>
      </c>
      <c r="F125" s="46">
        <v>1</v>
      </c>
      <c r="G125" s="46">
        <v>2</v>
      </c>
      <c r="H125" s="264">
        <f t="shared" si="7"/>
        <v>1.2559998154159935E-3</v>
      </c>
      <c r="I125" s="19"/>
    </row>
    <row r="126" spans="1:9" ht="15" customHeight="1">
      <c r="A126" s="15"/>
      <c r="B126" s="242"/>
      <c r="C126" s="263"/>
      <c r="D126" s="46"/>
      <c r="E126" s="46"/>
      <c r="F126" s="46"/>
      <c r="G126" s="46"/>
      <c r="H126" s="264"/>
      <c r="I126" s="19"/>
    </row>
    <row r="127" spans="1:9" ht="15" customHeight="1">
      <c r="A127" s="15"/>
      <c r="B127" s="242">
        <v>41</v>
      </c>
      <c r="C127" s="263">
        <v>1.5533400000000001E-3</v>
      </c>
      <c r="D127" s="46">
        <v>0</v>
      </c>
      <c r="E127" s="46">
        <v>2</v>
      </c>
      <c r="F127" s="46">
        <v>1</v>
      </c>
      <c r="G127" s="46">
        <v>2</v>
      </c>
      <c r="H127" s="264">
        <f t="shared" ref="H127:H133" si="8">C127*($C$27^D127)*($F$10^E127)*($F$11^F127)*($F$9^G127)</f>
        <v>3.7851012450000002E-3</v>
      </c>
      <c r="I127" s="19"/>
    </row>
    <row r="128" spans="1:9" ht="15" customHeight="1">
      <c r="A128" s="15"/>
      <c r="B128" s="242">
        <v>42</v>
      </c>
      <c r="C128" s="263">
        <v>3.0268299999999999E-4</v>
      </c>
      <c r="D128" s="46">
        <v>0</v>
      </c>
      <c r="E128" s="46">
        <v>6</v>
      </c>
      <c r="F128" s="46">
        <v>1</v>
      </c>
      <c r="G128" s="46">
        <v>2</v>
      </c>
      <c r="H128" s="264">
        <f t="shared" si="8"/>
        <v>6.0074951057112642E-4</v>
      </c>
      <c r="I128" s="19"/>
    </row>
    <row r="129" spans="1:9" ht="15" customHeight="1">
      <c r="A129" s="15"/>
      <c r="B129" s="242">
        <v>43</v>
      </c>
      <c r="C129" s="263">
        <v>-1.8430000000000001E-4</v>
      </c>
      <c r="D129" s="46">
        <v>0</v>
      </c>
      <c r="E129" s="46">
        <v>0</v>
      </c>
      <c r="F129" s="46">
        <v>2</v>
      </c>
      <c r="G129" s="46">
        <v>2</v>
      </c>
      <c r="H129" s="264">
        <f t="shared" si="8"/>
        <v>-1.49283E-4</v>
      </c>
      <c r="I129" s="19"/>
    </row>
    <row r="130" spans="1:9" ht="15" customHeight="1">
      <c r="A130" s="15"/>
      <c r="B130" s="242">
        <v>44</v>
      </c>
      <c r="C130" s="263">
        <v>-4.2539900000000002E-4</v>
      </c>
      <c r="D130" s="46">
        <v>0</v>
      </c>
      <c r="E130" s="46">
        <v>3</v>
      </c>
      <c r="F130" s="46">
        <v>2</v>
      </c>
      <c r="G130" s="46">
        <v>2</v>
      </c>
      <c r="H130" s="264">
        <f t="shared" si="8"/>
        <v>-2.9542843877624996E-4</v>
      </c>
      <c r="I130" s="19"/>
    </row>
    <row r="131" spans="1:9" ht="15" customHeight="1">
      <c r="A131" s="15"/>
      <c r="B131" s="242">
        <v>45</v>
      </c>
      <c r="C131" s="263">
        <v>8.6924300000000004E-5</v>
      </c>
      <c r="D131" s="46">
        <v>3</v>
      </c>
      <c r="E131" s="46">
        <v>3</v>
      </c>
      <c r="F131" s="46">
        <v>2</v>
      </c>
      <c r="G131" s="46">
        <v>2</v>
      </c>
      <c r="H131" s="264">
        <f t="shared" si="8"/>
        <v>2.5208210938570762E-5</v>
      </c>
      <c r="I131" s="19"/>
    </row>
    <row r="132" spans="1:9" ht="15" customHeight="1">
      <c r="A132" s="15"/>
      <c r="B132" s="242">
        <v>46</v>
      </c>
      <c r="C132" s="263">
        <v>-4.6589999999999999E-4</v>
      </c>
      <c r="D132" s="46">
        <v>0</v>
      </c>
      <c r="E132" s="46">
        <v>6</v>
      </c>
      <c r="F132" s="46">
        <v>2</v>
      </c>
      <c r="G132" s="46">
        <v>2</v>
      </c>
      <c r="H132" s="264">
        <f t="shared" si="8"/>
        <v>-2.7740824259217187E-4</v>
      </c>
      <c r="I132" s="19"/>
    </row>
    <row r="133" spans="1:9" ht="15" customHeight="1">
      <c r="A133" s="15"/>
      <c r="B133" s="265">
        <v>47</v>
      </c>
      <c r="C133" s="266">
        <v>5.54194E-5</v>
      </c>
      <c r="D133" s="267">
        <v>1</v>
      </c>
      <c r="E133" s="267">
        <v>6</v>
      </c>
      <c r="F133" s="267">
        <v>2</v>
      </c>
      <c r="G133" s="267">
        <v>2</v>
      </c>
      <c r="H133" s="268">
        <f t="shared" si="8"/>
        <v>2.4664376014446372E-5</v>
      </c>
      <c r="I133" s="19"/>
    </row>
    <row r="134" spans="1:9" ht="15" customHeight="1">
      <c r="A134" s="15"/>
      <c r="B134" s="256"/>
      <c r="C134" s="258"/>
      <c r="D134" s="258"/>
      <c r="E134" s="258"/>
      <c r="F134" s="258"/>
      <c r="G134" s="64" t="s">
        <v>75</v>
      </c>
      <c r="H134" s="65">
        <f>SUM(H83:H133)</f>
        <v>2.1544233934445527E-2</v>
      </c>
      <c r="I134" s="19"/>
    </row>
    <row r="135" spans="1:9" ht="15" customHeight="1">
      <c r="A135" s="15"/>
      <c r="B135" s="241"/>
      <c r="C135" s="241"/>
      <c r="D135" s="241"/>
      <c r="E135" s="241"/>
      <c r="F135" s="241"/>
      <c r="G135" s="241"/>
      <c r="H135" s="241"/>
      <c r="I135" s="15"/>
    </row>
    <row r="136" spans="1:9" ht="15" customHeight="1">
      <c r="A136" s="15"/>
      <c r="B136" s="250"/>
      <c r="C136" s="250"/>
      <c r="D136" s="250"/>
      <c r="E136" s="250"/>
      <c r="F136" s="250"/>
      <c r="G136" s="250"/>
      <c r="H136" s="250"/>
      <c r="I136" s="19"/>
    </row>
    <row r="137" spans="1:9" ht="15" customHeight="1">
      <c r="A137" s="15"/>
      <c r="B137" s="63" t="s">
        <v>76</v>
      </c>
      <c r="C137" s="19"/>
      <c r="D137" s="19"/>
      <c r="E137" s="19"/>
      <c r="F137" s="19"/>
      <c r="G137" s="19"/>
      <c r="H137" s="19"/>
      <c r="I137" s="19"/>
    </row>
    <row r="138" spans="1:9" ht="15" customHeight="1">
      <c r="A138" s="15"/>
      <c r="B138" s="23"/>
      <c r="C138" s="19"/>
      <c r="D138" s="19"/>
      <c r="E138" s="19"/>
      <c r="F138" s="19"/>
      <c r="G138" s="19"/>
      <c r="H138" s="19"/>
      <c r="I138" s="19"/>
    </row>
    <row r="139" spans="1:9" ht="15" customHeight="1">
      <c r="A139" s="15"/>
      <c r="B139" s="18" t="s">
        <v>77</v>
      </c>
      <c r="C139" s="26"/>
      <c r="D139" s="26"/>
      <c r="E139" s="26"/>
      <c r="F139" s="26"/>
      <c r="G139" s="26"/>
      <c r="H139" s="26"/>
      <c r="I139" s="27"/>
    </row>
    <row r="140" spans="1:9" ht="15" customHeight="1">
      <c r="A140" s="15"/>
      <c r="B140" s="251"/>
      <c r="C140" s="73"/>
      <c r="D140" s="73" t="s">
        <v>78</v>
      </c>
      <c r="E140" s="73" t="s">
        <v>79</v>
      </c>
      <c r="F140" s="73" t="s">
        <v>80</v>
      </c>
      <c r="G140" s="73" t="s">
        <v>81</v>
      </c>
      <c r="H140" s="73" t="s">
        <v>28</v>
      </c>
      <c r="I140" s="271"/>
    </row>
    <row r="141" spans="1:9" ht="15" customHeight="1">
      <c r="A141" s="15"/>
      <c r="B141" s="272">
        <v>1</v>
      </c>
      <c r="C141" s="273">
        <v>3.5348500000000001E-4</v>
      </c>
      <c r="D141" s="274">
        <v>1</v>
      </c>
      <c r="E141" s="274">
        <v>1</v>
      </c>
      <c r="F141" s="274">
        <v>1</v>
      </c>
      <c r="G141" s="274">
        <v>1</v>
      </c>
      <c r="H141" s="274">
        <v>1</v>
      </c>
      <c r="I141" s="275">
        <f>H141*G141*F141*E141*D141*C141</f>
        <v>3.5348500000000001E-4</v>
      </c>
    </row>
    <row r="142" spans="1:9" ht="15" customHeight="1">
      <c r="A142" s="15"/>
      <c r="B142" s="242">
        <v>2</v>
      </c>
      <c r="C142" s="276">
        <v>-3.3375800000000001E-3</v>
      </c>
      <c r="D142" s="277">
        <v>1</v>
      </c>
      <c r="E142" s="277">
        <v>1</v>
      </c>
      <c r="F142" s="277">
        <f>$F$11</f>
        <v>0.3</v>
      </c>
      <c r="G142" s="277">
        <v>1</v>
      </c>
      <c r="H142" s="277">
        <f>$C$27^2</f>
        <v>0.55868025799644305</v>
      </c>
      <c r="I142" s="278">
        <f t="shared" ref="I142:I149" si="9">H142*G142*F142*E142*D142*C142</f>
        <v>-5.5939201664513051E-4</v>
      </c>
    </row>
    <row r="143" spans="1:9" ht="15" customHeight="1">
      <c r="A143" s="15"/>
      <c r="B143" s="242">
        <v>3</v>
      </c>
      <c r="C143" s="276">
        <v>-4.7812499999999999E-3</v>
      </c>
      <c r="D143" s="277">
        <v>1</v>
      </c>
      <c r="E143" s="277">
        <v>1</v>
      </c>
      <c r="F143" s="277">
        <f>$F$11</f>
        <v>0.3</v>
      </c>
      <c r="G143" s="277">
        <f>$F$10</f>
        <v>0.95</v>
      </c>
      <c r="H143" s="277">
        <f>$C$27</f>
        <v>0.74744916750000001</v>
      </c>
      <c r="I143" s="278">
        <f t="shared" si="9"/>
        <v>-1.0185162796511717E-3</v>
      </c>
    </row>
    <row r="144" spans="1:9" ht="15" customHeight="1">
      <c r="A144" s="15"/>
      <c r="B144" s="242">
        <v>4</v>
      </c>
      <c r="C144" s="276">
        <v>2.5779200000000001E-4</v>
      </c>
      <c r="D144" s="277">
        <f>(LOG10($F$25)-0.301)^2</f>
        <v>46.86322147999892</v>
      </c>
      <c r="E144" s="277">
        <v>1</v>
      </c>
      <c r="F144" s="277">
        <f>$F$11</f>
        <v>0.3</v>
      </c>
      <c r="G144" s="277">
        <v>1</v>
      </c>
      <c r="H144" s="277">
        <f>$C$27^2</f>
        <v>0.55868025799644305</v>
      </c>
      <c r="I144" s="278">
        <f t="shared" si="9"/>
        <v>2.0248187568890248E-3</v>
      </c>
    </row>
    <row r="145" spans="1:9" ht="15" customHeight="1">
      <c r="A145" s="15"/>
      <c r="B145" s="242">
        <v>5</v>
      </c>
      <c r="C145" s="276">
        <v>6.4319200000000006E-5</v>
      </c>
      <c r="D145" s="277">
        <f>(LOG10($F$25)-0.301)</f>
        <v>6.8456717332924253</v>
      </c>
      <c r="E145" s="277">
        <v>1</v>
      </c>
      <c r="F145" s="277">
        <v>1</v>
      </c>
      <c r="G145" s="277">
        <f>$F$10^6</f>
        <v>0.73509189062499991</v>
      </c>
      <c r="H145" s="277">
        <f>$C$27^2</f>
        <v>0.55868025799644305</v>
      </c>
      <c r="I145" s="278">
        <f t="shared" si="9"/>
        <v>1.8082632689595541E-4</v>
      </c>
    </row>
    <row r="146" spans="1:9" ht="15" customHeight="1">
      <c r="A146" s="15"/>
      <c r="B146" s="242">
        <v>6</v>
      </c>
      <c r="C146" s="276">
        <v>-1.10636E-5</v>
      </c>
      <c r="D146" s="277">
        <f>(LOG10($F$25)-0.301)^2</f>
        <v>46.86322147999892</v>
      </c>
      <c r="E146" s="277">
        <v>1</v>
      </c>
      <c r="F146" s="277">
        <v>1</v>
      </c>
      <c r="G146" s="277">
        <f>$F$10^6</f>
        <v>0.73509189062499991</v>
      </c>
      <c r="H146" s="277">
        <f>$C$27^2</f>
        <v>0.55868025799644305</v>
      </c>
      <c r="I146" s="278">
        <f t="shared" si="9"/>
        <v>-2.129283859476318E-4</v>
      </c>
    </row>
    <row r="147" spans="1:9" ht="15" customHeight="1">
      <c r="A147" s="15"/>
      <c r="B147" s="242">
        <v>7</v>
      </c>
      <c r="C147" s="276">
        <v>-2.7630499999999999E-5</v>
      </c>
      <c r="D147" s="277">
        <f>(LOG10($F$25)-0.301)^2</f>
        <v>46.86322147999892</v>
      </c>
      <c r="E147" s="277">
        <f>$F$9</f>
        <v>3</v>
      </c>
      <c r="F147" s="277">
        <f>$F$11</f>
        <v>0.3</v>
      </c>
      <c r="G147" s="277">
        <v>1</v>
      </c>
      <c r="H147" s="277">
        <f>$C$27^2</f>
        <v>0.55868025799644305</v>
      </c>
      <c r="I147" s="278">
        <f t="shared" si="9"/>
        <v>-6.5106855133854663E-4</v>
      </c>
    </row>
    <row r="148" spans="1:9" ht="15" customHeight="1">
      <c r="A148" s="15"/>
      <c r="B148" s="242">
        <v>8</v>
      </c>
      <c r="C148" s="276">
        <v>9.5400000000000001E-5</v>
      </c>
      <c r="D148" s="277">
        <f>(LOG10($F$25)-0.301)</f>
        <v>6.8456717332924253</v>
      </c>
      <c r="E148" s="277">
        <f>$F$9</f>
        <v>3</v>
      </c>
      <c r="F148" s="277">
        <f>$F$11</f>
        <v>0.3</v>
      </c>
      <c r="G148" s="277">
        <f>$F$10</f>
        <v>0.95</v>
      </c>
      <c r="H148" s="277">
        <f>$C$27</f>
        <v>0.74744916750000001</v>
      </c>
      <c r="I148" s="278">
        <f t="shared" si="9"/>
        <v>4.1736134353900577E-4</v>
      </c>
    </row>
    <row r="149" spans="1:9" ht="15" customHeight="1">
      <c r="A149" s="15"/>
      <c r="B149" s="265">
        <v>9</v>
      </c>
      <c r="C149" s="279">
        <v>3.2049E-6</v>
      </c>
      <c r="D149" s="280">
        <f>(LOG10($F$25)-0.301)^2</f>
        <v>46.86322147999892</v>
      </c>
      <c r="E149" s="280">
        <f>$F$9^2</f>
        <v>9</v>
      </c>
      <c r="F149" s="280">
        <f>$F$11</f>
        <v>0.3</v>
      </c>
      <c r="G149" s="280">
        <f>$F$10^3</f>
        <v>0.85737499999999989</v>
      </c>
      <c r="H149" s="280">
        <f>$C$27</f>
        <v>0.74744916750000001</v>
      </c>
      <c r="I149" s="281">
        <f t="shared" si="9"/>
        <v>2.5987402041745744E-4</v>
      </c>
    </row>
    <row r="150" spans="1:9" ht="15" customHeight="1">
      <c r="A150" s="15"/>
      <c r="B150" s="75"/>
      <c r="C150" s="258"/>
      <c r="D150" s="258"/>
      <c r="E150" s="258"/>
      <c r="F150" s="258"/>
      <c r="G150" s="258"/>
      <c r="H150" s="13" t="s">
        <v>82</v>
      </c>
      <c r="I150" s="65">
        <f>SUM(I141:I149)</f>
        <v>7.9446021415896279E-4</v>
      </c>
    </row>
    <row r="151" spans="1:9" ht="15" customHeight="1">
      <c r="A151" s="15"/>
      <c r="B151" s="28"/>
      <c r="C151" s="19"/>
      <c r="D151" s="19"/>
      <c r="E151" s="19"/>
      <c r="F151" s="19"/>
      <c r="G151" s="19"/>
      <c r="H151" s="24"/>
      <c r="I151" s="25"/>
    </row>
    <row r="152" spans="1:9" ht="15" customHeight="1">
      <c r="A152" s="15"/>
      <c r="B152" s="28"/>
      <c r="C152" s="19"/>
      <c r="D152" s="19"/>
      <c r="E152" s="19"/>
      <c r="F152" s="19"/>
      <c r="G152" s="19"/>
      <c r="H152" s="19"/>
      <c r="I152" s="29"/>
    </row>
    <row r="153" spans="1:9" ht="15" customHeight="1">
      <c r="A153" s="15"/>
      <c r="B153" s="68" t="s">
        <v>83</v>
      </c>
      <c r="C153" s="30"/>
      <c r="D153" s="31"/>
      <c r="E153" s="31"/>
      <c r="F153" s="31"/>
      <c r="G153" s="31"/>
      <c r="H153" s="31"/>
      <c r="I153" s="31"/>
    </row>
    <row r="154" spans="1:9" ht="15" customHeight="1">
      <c r="A154" s="15"/>
      <c r="B154" s="251"/>
      <c r="C154" s="73"/>
      <c r="D154" s="73" t="s">
        <v>84</v>
      </c>
      <c r="E154" s="73" t="s">
        <v>79</v>
      </c>
      <c r="F154" s="73" t="s">
        <v>80</v>
      </c>
      <c r="G154" s="73" t="s">
        <v>81</v>
      </c>
      <c r="H154" s="73" t="s">
        <v>28</v>
      </c>
      <c r="I154" s="271"/>
    </row>
    <row r="155" spans="1:9" ht="15" customHeight="1">
      <c r="A155" s="15"/>
      <c r="B155" s="272">
        <v>1</v>
      </c>
      <c r="C155" s="273">
        <v>-5.9141200000000004E-4</v>
      </c>
      <c r="D155" s="274">
        <v>1</v>
      </c>
      <c r="E155" s="274">
        <v>1</v>
      </c>
      <c r="F155" s="274">
        <v>1</v>
      </c>
      <c r="G155" s="274">
        <v>1</v>
      </c>
      <c r="H155" s="274">
        <v>1</v>
      </c>
      <c r="I155" s="275">
        <f>H155*G155*F155*E155*D155*C155</f>
        <v>-5.9141200000000004E-4</v>
      </c>
    </row>
    <row r="156" spans="1:9" ht="15" customHeight="1">
      <c r="A156" s="15"/>
      <c r="B156" s="242">
        <v>2</v>
      </c>
      <c r="C156" s="276">
        <v>6.9689799999999996E-3</v>
      </c>
      <c r="D156" s="277">
        <v>1</v>
      </c>
      <c r="E156" s="277">
        <v>1</v>
      </c>
      <c r="F156" s="277">
        <v>1</v>
      </c>
      <c r="G156" s="277">
        <f>$F$10</f>
        <v>0.95</v>
      </c>
      <c r="H156" s="277">
        <v>1</v>
      </c>
      <c r="I156" s="278">
        <f t="shared" ref="I156:I167" si="10">H156*G156*F156*E156*D156*C156</f>
        <v>6.6205309999999989E-3</v>
      </c>
    </row>
    <row r="157" spans="1:9" ht="15" customHeight="1">
      <c r="A157" s="15"/>
      <c r="B157" s="242">
        <v>3</v>
      </c>
      <c r="C157" s="276">
        <v>-6.66654E-5</v>
      </c>
      <c r="D157" s="277">
        <v>1</v>
      </c>
      <c r="E157" s="277">
        <f>$F$9</f>
        <v>3</v>
      </c>
      <c r="F157" s="277">
        <v>1</v>
      </c>
      <c r="G157" s="277">
        <f>$F$10^6</f>
        <v>0.73509189062499991</v>
      </c>
      <c r="H157" s="277">
        <v>1</v>
      </c>
      <c r="I157" s="278">
        <f t="shared" si="10"/>
        <v>-1.4701558477581559E-4</v>
      </c>
    </row>
    <row r="158" spans="1:9" ht="15" customHeight="1">
      <c r="A158" s="15"/>
      <c r="B158" s="242">
        <v>4</v>
      </c>
      <c r="C158" s="276">
        <v>1.60818E-2</v>
      </c>
      <c r="D158" s="277">
        <v>1</v>
      </c>
      <c r="E158" s="277">
        <v>1</v>
      </c>
      <c r="F158" s="277">
        <f>$F$11^2</f>
        <v>0.09</v>
      </c>
      <c r="G158" s="277">
        <v>1</v>
      </c>
      <c r="H158" s="277">
        <v>1</v>
      </c>
      <c r="I158" s="278">
        <f t="shared" si="10"/>
        <v>1.447362E-3</v>
      </c>
    </row>
    <row r="159" spans="1:9" ht="15" customHeight="1">
      <c r="A159" s="15"/>
      <c r="B159" s="242">
        <v>5</v>
      </c>
      <c r="C159" s="276">
        <v>-9.3809099999999995E-4</v>
      </c>
      <c r="D159" s="277">
        <f>(LOG($F$25)-0.301)</f>
        <v>6.8456717332924253</v>
      </c>
      <c r="E159" s="277">
        <v>1</v>
      </c>
      <c r="F159" s="277">
        <v>1</v>
      </c>
      <c r="G159" s="277">
        <f>$F$10</f>
        <v>0.95</v>
      </c>
      <c r="H159" s="277">
        <v>1</v>
      </c>
      <c r="I159" s="278">
        <f t="shared" si="10"/>
        <v>-6.1007698898582225E-3</v>
      </c>
    </row>
    <row r="160" spans="1:9" ht="15" customHeight="1">
      <c r="A160" s="15"/>
      <c r="B160" s="242">
        <v>6</v>
      </c>
      <c r="C160" s="276">
        <v>-5.9593000000000005E-4</v>
      </c>
      <c r="D160" s="277">
        <f>(LOG($F$25)-0.301)</f>
        <v>6.8456717332924253</v>
      </c>
      <c r="E160" s="277">
        <v>1</v>
      </c>
      <c r="F160" s="277">
        <v>1</v>
      </c>
      <c r="G160" s="277">
        <f>$F$10^2</f>
        <v>0.90249999999999997</v>
      </c>
      <c r="H160" s="277">
        <v>1</v>
      </c>
      <c r="I160" s="278">
        <f t="shared" si="10"/>
        <v>-3.681785893308912E-3</v>
      </c>
    </row>
    <row r="161" spans="1:9" ht="15" customHeight="1">
      <c r="A161" s="15"/>
      <c r="B161" s="242">
        <v>7</v>
      </c>
      <c r="C161" s="276">
        <v>7.8209900000000005E-5</v>
      </c>
      <c r="D161" s="277">
        <f>(LOG($F$25)-0.301)^2</f>
        <v>46.86322147999892</v>
      </c>
      <c r="E161" s="277">
        <v>1</v>
      </c>
      <c r="F161" s="277">
        <v>1</v>
      </c>
      <c r="G161" s="277">
        <f>$F$10^2</f>
        <v>0.90249999999999997</v>
      </c>
      <c r="H161" s="277">
        <v>1</v>
      </c>
      <c r="I161" s="278">
        <f t="shared" si="10"/>
        <v>3.3078139987297826E-3</v>
      </c>
    </row>
    <row r="162" spans="1:9" ht="15" customHeight="1">
      <c r="A162" s="15"/>
      <c r="B162" s="242">
        <v>8</v>
      </c>
      <c r="C162" s="276">
        <v>5.2198999999999998E-6</v>
      </c>
      <c r="D162" s="277">
        <f>(LOG($F$25)-0.301)</f>
        <v>6.8456717332924253</v>
      </c>
      <c r="E162" s="277">
        <f>$F$9</f>
        <v>3</v>
      </c>
      <c r="F162" s="277">
        <f>$F$11</f>
        <v>0.3</v>
      </c>
      <c r="G162" s="277">
        <v>1</v>
      </c>
      <c r="H162" s="277">
        <f>$C$27^2</f>
        <v>0.55868025799644305</v>
      </c>
      <c r="I162" s="278">
        <f t="shared" si="10"/>
        <v>1.7967352463490674E-5</v>
      </c>
    </row>
    <row r="163" spans="1:9" ht="15" customHeight="1">
      <c r="A163" s="15"/>
      <c r="B163" s="242">
        <v>9</v>
      </c>
      <c r="C163" s="276">
        <v>-8.8528E-7</v>
      </c>
      <c r="D163" s="277">
        <f>(LOG($F$25)-0.301)^2</f>
        <v>46.86322147999892</v>
      </c>
      <c r="E163" s="277">
        <f>$F$9</f>
        <v>3</v>
      </c>
      <c r="F163" s="277">
        <f>$F$11</f>
        <v>0.3</v>
      </c>
      <c r="G163" s="277">
        <f>$F$10</f>
        <v>0.95</v>
      </c>
      <c r="H163" s="277">
        <f>$C$27</f>
        <v>0.74744916750000001</v>
      </c>
      <c r="I163" s="278">
        <f t="shared" si="10"/>
        <v>-2.6513103656190671E-5</v>
      </c>
    </row>
    <row r="164" spans="1:9" ht="15" customHeight="1">
      <c r="A164" s="15"/>
      <c r="B164" s="242">
        <v>10</v>
      </c>
      <c r="C164" s="276">
        <v>2.30171E-5</v>
      </c>
      <c r="D164" s="277">
        <f>(LOG($F$25)-0.301)</f>
        <v>6.8456717332924253</v>
      </c>
      <c r="E164" s="277">
        <f>$F$9</f>
        <v>3</v>
      </c>
      <c r="F164" s="277">
        <v>1</v>
      </c>
      <c r="G164" s="277">
        <f>$F$10^6</f>
        <v>0.73509189062499991</v>
      </c>
      <c r="H164" s="277">
        <v>1</v>
      </c>
      <c r="I164" s="278">
        <f t="shared" si="10"/>
        <v>3.4747979836062071E-4</v>
      </c>
    </row>
    <row r="165" spans="1:9" ht="15" customHeight="1">
      <c r="A165" s="15"/>
      <c r="B165" s="242">
        <v>11</v>
      </c>
      <c r="C165" s="276">
        <v>-1.8434100000000001E-6</v>
      </c>
      <c r="D165" s="277">
        <f>(LOG($F$25)-0.301)^2</f>
        <v>46.86322147999892</v>
      </c>
      <c r="E165" s="277">
        <f>$F$9</f>
        <v>3</v>
      </c>
      <c r="F165" s="277">
        <v>1</v>
      </c>
      <c r="G165" s="277">
        <f>$F$10^6</f>
        <v>0.73509189062499991</v>
      </c>
      <c r="H165" s="277">
        <v>1</v>
      </c>
      <c r="I165" s="278">
        <f t="shared" si="10"/>
        <v>-1.9050964387220119E-4</v>
      </c>
    </row>
    <row r="166" spans="1:9" ht="15" customHeight="1">
      <c r="A166" s="15"/>
      <c r="B166" s="242">
        <v>12</v>
      </c>
      <c r="C166" s="276">
        <v>-4.0025199999999999E-3</v>
      </c>
      <c r="D166" s="277">
        <f>(LOG($F$25)-0.301)</f>
        <v>6.8456717332924253</v>
      </c>
      <c r="E166" s="277">
        <v>1</v>
      </c>
      <c r="F166" s="277">
        <f>$F$11^2</f>
        <v>0.09</v>
      </c>
      <c r="G166" s="277">
        <v>1</v>
      </c>
      <c r="H166" s="277">
        <v>1</v>
      </c>
      <c r="I166" s="278">
        <f t="shared" si="10"/>
        <v>-2.465994422334384E-3</v>
      </c>
    </row>
    <row r="167" spans="1:9" ht="15" customHeight="1">
      <c r="A167" s="15"/>
      <c r="B167" s="265">
        <v>13</v>
      </c>
      <c r="C167" s="279">
        <v>2.2091499999999999E-4</v>
      </c>
      <c r="D167" s="280">
        <f>(LOG($F$25)-0.301)^2</f>
        <v>46.86322147999892</v>
      </c>
      <c r="E167" s="280">
        <v>1</v>
      </c>
      <c r="F167" s="280">
        <f>$F$11^2</f>
        <v>0.09</v>
      </c>
      <c r="G167" s="280">
        <v>1</v>
      </c>
      <c r="H167" s="280">
        <v>1</v>
      </c>
      <c r="I167" s="281">
        <f t="shared" si="10"/>
        <v>9.3175097159285637E-4</v>
      </c>
    </row>
    <row r="168" spans="1:9" ht="15" customHeight="1">
      <c r="A168" s="15"/>
      <c r="B168" s="256"/>
      <c r="C168" s="282"/>
      <c r="D168" s="258"/>
      <c r="E168" s="258"/>
      <c r="F168" s="258"/>
      <c r="G168" s="258"/>
      <c r="H168" s="13" t="s">
        <v>85</v>
      </c>
      <c r="I168" s="65">
        <f>SUM(I155:I167)</f>
        <v>-5.3109541665897738E-4</v>
      </c>
    </row>
    <row r="169" spans="1:9" ht="15" customHeight="1">
      <c r="A169" s="15"/>
      <c r="B169" s="15"/>
      <c r="C169" s="17"/>
      <c r="D169" s="15"/>
      <c r="E169" s="15"/>
      <c r="F169" s="15"/>
      <c r="G169" s="15"/>
      <c r="H169" s="15"/>
      <c r="I169" s="15"/>
    </row>
    <row r="170" spans="1:9" ht="15" customHeight="1">
      <c r="C170" s="8"/>
    </row>
    <row r="171" spans="1:9" ht="15" customHeight="1">
      <c r="C171" s="8"/>
    </row>
    <row r="172" spans="1:9" ht="15" customHeight="1">
      <c r="C172" s="8"/>
    </row>
    <row r="173" spans="1:9" ht="15" customHeight="1">
      <c r="C173" s="8"/>
    </row>
    <row r="174" spans="1:9" ht="15" customHeight="1">
      <c r="C174" s="8"/>
    </row>
    <row r="175" spans="1:9" ht="15" customHeight="1">
      <c r="C175" s="8"/>
    </row>
  </sheetData>
  <sheetProtection selectLockedCells="1"/>
  <phoneticPr fontId="7" type="noConversion"/>
  <printOptions gridLinesSet="0"/>
  <pageMargins left="0.78740157499999996" right="0.78740157499999996" top="0.984251969" bottom="0.984251969" header="0.49212598499999999" footer="0.49212598499999999"/>
  <pageSetup paperSize="9" orientation="portrait" horizontalDpi="360" verticalDpi="300" r:id="rId1"/>
  <headerFooter alignWithMargins="0">
    <oddHeader>&amp;A</oddHeader>
    <oddFooter>Página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L71"/>
  <sheetViews>
    <sheetView showGridLines="0" zoomScaleNormal="100" workbookViewId="0">
      <selection activeCell="I8" sqref="I8"/>
    </sheetView>
  </sheetViews>
  <sheetFormatPr defaultColWidth="11.44140625" defaultRowHeight="15" customHeight="1"/>
  <cols>
    <col min="1" max="1" width="3.6640625" style="4" customWidth="1"/>
    <col min="2" max="14" width="9.6640625" style="4" customWidth="1"/>
    <col min="15" max="16384" width="11.44140625" style="4"/>
  </cols>
  <sheetData>
    <row r="2" spans="2:12" ht="15" customHeight="1">
      <c r="B2" s="215" t="s">
        <v>86</v>
      </c>
      <c r="C2" s="35"/>
      <c r="D2" s="35"/>
      <c r="E2" s="35"/>
      <c r="F2" s="35"/>
      <c r="G2" s="35"/>
      <c r="H2" s="35"/>
    </row>
    <row r="4" spans="2:12" ht="15" customHeight="1">
      <c r="B4" s="5"/>
      <c r="C4" s="5"/>
      <c r="D4" s="5"/>
      <c r="E4" s="5"/>
      <c r="F4" s="5"/>
      <c r="G4" s="5"/>
      <c r="H4" s="5"/>
      <c r="I4" s="5"/>
      <c r="J4" s="5"/>
      <c r="K4" s="5"/>
      <c r="L4" s="5"/>
    </row>
    <row r="5" spans="2:12" ht="15" customHeight="1">
      <c r="B5" s="60" t="s">
        <v>87</v>
      </c>
      <c r="C5" s="69"/>
      <c r="D5" s="70"/>
      <c r="E5" s="69"/>
      <c r="F5" s="69"/>
      <c r="G5" s="71"/>
      <c r="H5" s="72"/>
      <c r="I5" s="5"/>
      <c r="J5" s="5"/>
      <c r="K5" s="5"/>
      <c r="L5" s="5"/>
    </row>
    <row r="6" spans="2:12" ht="15" customHeight="1">
      <c r="B6" s="283"/>
      <c r="C6" s="73"/>
      <c r="D6" s="74"/>
      <c r="E6" s="73"/>
      <c r="F6" s="73"/>
      <c r="G6" s="284"/>
      <c r="H6" s="271"/>
      <c r="I6" s="5"/>
      <c r="J6" s="5"/>
      <c r="K6" s="5"/>
      <c r="L6" s="5"/>
    </row>
    <row r="7" spans="2:12" ht="15" customHeight="1">
      <c r="B7" s="38" t="s">
        <v>88</v>
      </c>
      <c r="C7" s="39">
        <f>Cálculo!C25^2+(2*PI()*Cálculo!C11*0.7*Cálculo!C9/2)^2</f>
        <v>357.74298562176227</v>
      </c>
      <c r="D7" s="285" t="s">
        <v>89</v>
      </c>
      <c r="E7" s="40" t="s">
        <v>53</v>
      </c>
      <c r="F7" s="41">
        <f>Principal!F15</f>
        <v>0.3</v>
      </c>
      <c r="G7" s="286" t="s">
        <v>7</v>
      </c>
      <c r="H7" s="255"/>
      <c r="I7" s="5"/>
      <c r="J7" s="5"/>
      <c r="K7" s="5"/>
      <c r="L7" s="5"/>
    </row>
    <row r="8" spans="2:12" ht="15" customHeight="1">
      <c r="B8" s="38" t="s">
        <v>90</v>
      </c>
      <c r="C8" s="42">
        <f>0.5*Propriedades!E7*C7</f>
        <v>183504.26447468298</v>
      </c>
      <c r="D8" s="43" t="s">
        <v>91</v>
      </c>
      <c r="E8" s="40" t="s">
        <v>92</v>
      </c>
      <c r="F8" s="41">
        <f>PI()*Cálculo!C9^2/4*F7</f>
        <v>3.7699111843077517</v>
      </c>
      <c r="G8" s="287" t="s">
        <v>93</v>
      </c>
      <c r="H8" s="255"/>
      <c r="I8" s="5"/>
      <c r="J8" s="5"/>
      <c r="K8" s="5"/>
      <c r="L8" s="5"/>
    </row>
    <row r="9" spans="2:12" ht="15" customHeight="1">
      <c r="B9" s="38" t="s">
        <v>94</v>
      </c>
      <c r="C9" s="42">
        <f>Propriedades!E11-Propriedades!E12+Propriedades!E7*Propriedades!E13*Principal!J14</f>
        <v>159985.90779999999</v>
      </c>
      <c r="D9" s="43" t="s">
        <v>91</v>
      </c>
      <c r="E9" s="40" t="s">
        <v>95</v>
      </c>
      <c r="F9" s="44">
        <f>F8*(1.067-0.229*Cálculo!F10)</f>
        <v>3.2023510555102193</v>
      </c>
      <c r="G9" s="45" t="s">
        <v>96</v>
      </c>
      <c r="H9" s="255"/>
      <c r="I9" s="5"/>
      <c r="J9" s="5"/>
      <c r="K9" s="5"/>
      <c r="L9" s="5"/>
    </row>
    <row r="10" spans="2:12" ht="15" customHeight="1">
      <c r="B10" s="38"/>
      <c r="C10" s="43"/>
      <c r="D10" s="43"/>
      <c r="E10" s="45"/>
      <c r="F10" s="45"/>
      <c r="G10" s="45"/>
      <c r="H10" s="255"/>
      <c r="I10" s="5"/>
      <c r="J10" s="5"/>
      <c r="K10" s="5"/>
      <c r="L10" s="5"/>
    </row>
    <row r="11" spans="2:12" ht="15" customHeight="1">
      <c r="B11" s="11" t="s">
        <v>97</v>
      </c>
      <c r="C11" s="41">
        <f>C9/C8</f>
        <v>0.8718375469801265</v>
      </c>
      <c r="D11" s="45"/>
      <c r="E11" s="46"/>
      <c r="F11" s="45"/>
      <c r="G11" s="45"/>
      <c r="H11" s="81"/>
      <c r="I11" s="5"/>
      <c r="J11" s="5"/>
      <c r="K11" s="5"/>
      <c r="L11" s="5"/>
    </row>
    <row r="12" spans="2:12" ht="15" customHeight="1">
      <c r="B12" s="11" t="s">
        <v>98</v>
      </c>
      <c r="C12" s="41">
        <f>(Cálculo!F17*1000)/(0.5*Propriedades!E7*F9*C7)</f>
        <v>0.23473423146754957</v>
      </c>
      <c r="D12" s="47"/>
      <c r="E12" s="46"/>
      <c r="F12" s="45"/>
      <c r="G12" s="45"/>
      <c r="H12" s="81"/>
      <c r="I12" s="5"/>
      <c r="J12" s="5"/>
      <c r="K12" s="5"/>
      <c r="L12" s="5"/>
    </row>
    <row r="13" spans="2:12" ht="15" customHeight="1">
      <c r="B13" s="11" t="s">
        <v>99</v>
      </c>
      <c r="C13" s="41">
        <f>IF(Principal!J15&lt;=0.025,0.09798*LN(C11)+0.23426,IF(Principal!J15&gt;0.05,0.14093*LN(C11)+0.3458,0.11104*LN(C11)+0.27104))</f>
        <v>0.32647114443333453</v>
      </c>
      <c r="D13" s="46"/>
      <c r="E13" s="46"/>
      <c r="F13" s="45"/>
      <c r="G13" s="45"/>
      <c r="H13" s="81"/>
      <c r="I13" s="5"/>
      <c r="J13" s="5"/>
      <c r="K13" s="5"/>
      <c r="L13" s="5"/>
    </row>
    <row r="14" spans="2:12" ht="15" customHeight="1">
      <c r="B14" s="11" t="s">
        <v>100</v>
      </c>
      <c r="C14" s="48">
        <f>(C13/C12)-1</f>
        <v>0.3908118231936144</v>
      </c>
      <c r="D14" s="88" t="str">
        <f>IF(C14&gt;0.05,"ok","nok")</f>
        <v>ok</v>
      </c>
      <c r="E14" s="46"/>
      <c r="F14" s="45"/>
      <c r="G14" s="45"/>
      <c r="H14" s="81"/>
      <c r="I14" s="5"/>
      <c r="J14" s="5"/>
      <c r="K14" s="5"/>
      <c r="L14" s="5"/>
    </row>
    <row r="15" spans="2:12" ht="15" customHeight="1">
      <c r="B15" s="75"/>
      <c r="C15" s="76"/>
      <c r="D15" s="76"/>
      <c r="E15" s="76"/>
      <c r="F15" s="76"/>
      <c r="G15" s="76"/>
      <c r="H15" s="77"/>
      <c r="I15" s="5"/>
      <c r="J15" s="5"/>
      <c r="K15" s="5"/>
      <c r="L15" s="5"/>
    </row>
    <row r="16" spans="2:12" ht="15" customHeight="1">
      <c r="B16" s="78"/>
      <c r="C16" s="78"/>
      <c r="D16" s="78"/>
      <c r="E16" s="78"/>
      <c r="F16" s="78"/>
      <c r="G16" s="78"/>
      <c r="H16" s="78"/>
      <c r="I16" s="5"/>
      <c r="J16" s="5"/>
      <c r="K16" s="5"/>
      <c r="L16" s="5"/>
    </row>
    <row r="17" spans="2:12" ht="15" customHeight="1">
      <c r="B17" s="78"/>
      <c r="C17" s="78"/>
      <c r="D17" s="78"/>
      <c r="E17" s="78"/>
      <c r="F17" s="78"/>
      <c r="G17" s="78"/>
      <c r="H17" s="78"/>
      <c r="I17" s="5"/>
      <c r="J17" s="5"/>
      <c r="K17" s="5"/>
      <c r="L17" s="5"/>
    </row>
    <row r="18" spans="2:12" ht="15" customHeight="1">
      <c r="B18" s="60" t="s">
        <v>101</v>
      </c>
      <c r="C18" s="69"/>
      <c r="D18" s="70"/>
      <c r="E18" s="69"/>
      <c r="F18" s="69"/>
      <c r="G18" s="71"/>
      <c r="H18" s="72"/>
      <c r="I18" s="72"/>
      <c r="J18" s="72"/>
      <c r="K18" s="72"/>
      <c r="L18" s="72"/>
    </row>
    <row r="19" spans="2:12" ht="15" customHeight="1">
      <c r="B19" s="288"/>
      <c r="C19" s="79"/>
      <c r="D19" s="79"/>
      <c r="E19" s="79"/>
      <c r="F19" s="79"/>
      <c r="G19" s="79"/>
      <c r="H19" s="79"/>
      <c r="I19" s="79"/>
      <c r="J19" s="79"/>
      <c r="K19" s="79"/>
      <c r="L19" s="80"/>
    </row>
    <row r="20" spans="2:12" ht="15" customHeight="1">
      <c r="B20" s="38" t="s">
        <v>102</v>
      </c>
      <c r="C20" s="289">
        <f>(LN(10)/9)</f>
        <v>0.25584278811044953</v>
      </c>
      <c r="D20" s="45"/>
      <c r="E20" s="45"/>
      <c r="F20" s="45"/>
      <c r="G20" s="45"/>
      <c r="H20" s="45"/>
      <c r="I20" s="45"/>
      <c r="J20" s="45"/>
      <c r="K20" s="45"/>
      <c r="L20" s="81"/>
    </row>
    <row r="21" spans="2:12" ht="15" customHeight="1">
      <c r="B21" s="290"/>
      <c r="C21" s="45"/>
      <c r="D21" s="45"/>
      <c r="E21" s="45"/>
      <c r="F21" s="45"/>
      <c r="G21" s="45"/>
      <c r="H21" s="45"/>
      <c r="I21" s="45"/>
      <c r="J21" s="45"/>
      <c r="K21" s="45"/>
      <c r="L21" s="81"/>
    </row>
    <row r="22" spans="2:12" ht="15" customHeight="1">
      <c r="B22" s="290"/>
      <c r="C22" s="49"/>
      <c r="D22" s="50" t="s">
        <v>103</v>
      </c>
      <c r="E22" s="291"/>
      <c r="F22" s="45"/>
      <c r="G22" s="45"/>
      <c r="H22" s="51"/>
      <c r="I22" s="50" t="s">
        <v>104</v>
      </c>
      <c r="J22" s="291"/>
      <c r="K22" s="292"/>
      <c r="L22" s="81"/>
    </row>
    <row r="23" spans="2:12" ht="15" customHeight="1">
      <c r="B23" s="290"/>
      <c r="C23" s="82" t="s">
        <v>105</v>
      </c>
      <c r="D23" s="293">
        <v>2.5000000000000001E-2</v>
      </c>
      <c r="E23" s="293">
        <v>0.05</v>
      </c>
      <c r="F23" s="293">
        <v>0.1</v>
      </c>
      <c r="G23" s="45"/>
      <c r="H23" s="82" t="s">
        <v>105</v>
      </c>
      <c r="I23" s="293">
        <v>2.5000000000000001E-2</v>
      </c>
      <c r="J23" s="293">
        <v>0.05</v>
      </c>
      <c r="K23" s="293">
        <v>0.1</v>
      </c>
      <c r="L23" s="81"/>
    </row>
    <row r="24" spans="2:12" ht="15" customHeight="1">
      <c r="B24" s="290"/>
      <c r="C24" s="294">
        <v>0.2</v>
      </c>
      <c r="D24" s="294">
        <v>1.8</v>
      </c>
      <c r="E24" s="294">
        <v>2.5</v>
      </c>
      <c r="F24" s="294">
        <v>3.45</v>
      </c>
      <c r="G24" s="45"/>
      <c r="H24" s="294">
        <f t="shared" ref="H24:H32" si="0">C24</f>
        <v>0.2</v>
      </c>
      <c r="I24" s="295">
        <f t="shared" ref="I24:I32" si="1">0.05*EXP($C$20*D24)</f>
        <v>7.9244659623055685E-2</v>
      </c>
      <c r="J24" s="295">
        <f t="shared" ref="J24:J32" si="2">0.05*EXP($C$20*E24)</f>
        <v>9.4786782620318796E-2</v>
      </c>
      <c r="K24" s="295">
        <f t="shared" ref="K24:K32" si="3">0.05*EXP($C$20*F24)</f>
        <v>0.12086577404020521</v>
      </c>
      <c r="L24" s="81"/>
    </row>
    <row r="25" spans="2:12" ht="15" customHeight="1">
      <c r="B25" s="290"/>
      <c r="C25" s="294">
        <v>0.3</v>
      </c>
      <c r="D25" s="294">
        <v>3.25</v>
      </c>
      <c r="E25" s="294">
        <v>3.95</v>
      </c>
      <c r="F25" s="294">
        <v>4.95</v>
      </c>
      <c r="G25" s="45"/>
      <c r="H25" s="294">
        <f t="shared" si="0"/>
        <v>0.3</v>
      </c>
      <c r="I25" s="295">
        <f t="shared" si="1"/>
        <v>0.11483680881693181</v>
      </c>
      <c r="J25" s="295">
        <f t="shared" si="2"/>
        <v>0.13735956070628016</v>
      </c>
      <c r="K25" s="295">
        <f t="shared" si="3"/>
        <v>0.17740669461678776</v>
      </c>
      <c r="L25" s="81"/>
    </row>
    <row r="26" spans="2:12" ht="15" customHeight="1">
      <c r="B26" s="290"/>
      <c r="C26" s="294">
        <v>0.4</v>
      </c>
      <c r="D26" s="294">
        <v>4.0999999999999996</v>
      </c>
      <c r="E26" s="294">
        <v>4.75</v>
      </c>
      <c r="F26" s="294">
        <v>5.7</v>
      </c>
      <c r="G26" s="45"/>
      <c r="H26" s="294">
        <f t="shared" si="0"/>
        <v>0.4</v>
      </c>
      <c r="I26" s="295">
        <f t="shared" si="1"/>
        <v>0.14273338317489662</v>
      </c>
      <c r="J26" s="295">
        <f t="shared" si="2"/>
        <v>0.16855738387754815</v>
      </c>
      <c r="K26" s="295">
        <f t="shared" si="3"/>
        <v>0.21493311735411386</v>
      </c>
      <c r="L26" s="81"/>
    </row>
    <row r="27" spans="2:12" ht="15" customHeight="1">
      <c r="B27" s="290"/>
      <c r="C27" s="294">
        <v>0.5</v>
      </c>
      <c r="D27" s="294">
        <v>4.7</v>
      </c>
      <c r="E27" s="294">
        <v>5.25</v>
      </c>
      <c r="F27" s="294">
        <v>6.25</v>
      </c>
      <c r="G27" s="45"/>
      <c r="H27" s="294">
        <f t="shared" si="0"/>
        <v>0.5</v>
      </c>
      <c r="I27" s="295">
        <f t="shared" si="1"/>
        <v>0.16641490697273109</v>
      </c>
      <c r="J27" s="295">
        <f t="shared" si="2"/>
        <v>0.19155934247786444</v>
      </c>
      <c r="K27" s="295">
        <f t="shared" si="3"/>
        <v>0.2474084046077572</v>
      </c>
      <c r="L27" s="81"/>
    </row>
    <row r="28" spans="2:12" ht="15" customHeight="1">
      <c r="B28" s="290"/>
      <c r="C28" s="294">
        <v>0.6</v>
      </c>
      <c r="D28" s="294">
        <v>5.05</v>
      </c>
      <c r="E28" s="294">
        <v>5.65</v>
      </c>
      <c r="F28" s="294">
        <v>6.6</v>
      </c>
      <c r="G28" s="45"/>
      <c r="H28" s="294">
        <f t="shared" si="0"/>
        <v>0.6</v>
      </c>
      <c r="I28" s="295">
        <f t="shared" si="1"/>
        <v>0.18200407653791362</v>
      </c>
      <c r="J28" s="295">
        <f t="shared" si="2"/>
        <v>0.21220117390898985</v>
      </c>
      <c r="K28" s="295">
        <f t="shared" si="3"/>
        <v>0.27058476327323183</v>
      </c>
      <c r="L28" s="81"/>
    </row>
    <row r="29" spans="2:12" ht="15" customHeight="1">
      <c r="B29" s="290"/>
      <c r="C29" s="294">
        <v>0.7</v>
      </c>
      <c r="D29" s="294">
        <v>5.4</v>
      </c>
      <c r="E29" s="294">
        <v>5.95</v>
      </c>
      <c r="F29" s="294">
        <v>6.9</v>
      </c>
      <c r="G29" s="45"/>
      <c r="H29" s="294">
        <f t="shared" si="0"/>
        <v>0.7</v>
      </c>
      <c r="I29" s="295">
        <f t="shared" si="1"/>
        <v>0.19905358527674866</v>
      </c>
      <c r="J29" s="295">
        <f t="shared" si="2"/>
        <v>0.22912955700371002</v>
      </c>
      <c r="K29" s="295">
        <f t="shared" si="3"/>
        <v>0.29217070668675887</v>
      </c>
      <c r="L29" s="81"/>
    </row>
    <row r="30" spans="2:12" ht="15" customHeight="1">
      <c r="B30" s="290"/>
      <c r="C30" s="294">
        <v>0.8</v>
      </c>
      <c r="D30" s="294">
        <v>5.65</v>
      </c>
      <c r="E30" s="294">
        <v>6.25</v>
      </c>
      <c r="F30" s="294">
        <v>7.2</v>
      </c>
      <c r="G30" s="45"/>
      <c r="H30" s="294">
        <f t="shared" si="0"/>
        <v>0.8</v>
      </c>
      <c r="I30" s="295">
        <f t="shared" si="1"/>
        <v>0.21220117390898985</v>
      </c>
      <c r="J30" s="295">
        <f t="shared" si="2"/>
        <v>0.2474084046077572</v>
      </c>
      <c r="K30" s="295">
        <f t="shared" si="3"/>
        <v>0.31547867224009668</v>
      </c>
      <c r="L30" s="81"/>
    </row>
    <row r="31" spans="2:12" ht="15" customHeight="1">
      <c r="B31" s="290"/>
      <c r="C31" s="294">
        <v>0.9</v>
      </c>
      <c r="D31" s="294">
        <v>5.9</v>
      </c>
      <c r="E31" s="294">
        <v>6.45</v>
      </c>
      <c r="F31" s="294">
        <v>7.4</v>
      </c>
      <c r="G31" s="45"/>
      <c r="H31" s="294">
        <f t="shared" si="0"/>
        <v>0.9</v>
      </c>
      <c r="I31" s="295">
        <f t="shared" si="1"/>
        <v>0.2262171673308373</v>
      </c>
      <c r="J31" s="295">
        <f t="shared" si="2"/>
        <v>0.26039741642977321</v>
      </c>
      <c r="K31" s="295">
        <f t="shared" si="3"/>
        <v>0.3320413925317422</v>
      </c>
      <c r="L31" s="81"/>
    </row>
    <row r="32" spans="2:12" ht="15" customHeight="1">
      <c r="B32" s="290"/>
      <c r="C32" s="294">
        <v>1</v>
      </c>
      <c r="D32" s="294">
        <v>6.05</v>
      </c>
      <c r="E32" s="294">
        <v>6.65</v>
      </c>
      <c r="F32" s="294">
        <v>7.6</v>
      </c>
      <c r="G32" s="45"/>
      <c r="H32" s="294">
        <f t="shared" si="0"/>
        <v>1</v>
      </c>
      <c r="I32" s="295">
        <f t="shared" si="1"/>
        <v>0.2350673040838856</v>
      </c>
      <c r="J32" s="295">
        <f t="shared" si="2"/>
        <v>0.27406835507792093</v>
      </c>
      <c r="K32" s="295">
        <f t="shared" si="3"/>
        <v>0.34947366036367428</v>
      </c>
      <c r="L32" s="81"/>
    </row>
    <row r="33" spans="2:12" ht="15" customHeight="1">
      <c r="B33" s="75"/>
      <c r="C33" s="76"/>
      <c r="D33" s="76"/>
      <c r="E33" s="76"/>
      <c r="F33" s="76"/>
      <c r="G33" s="76"/>
      <c r="H33" s="76"/>
      <c r="I33" s="76"/>
      <c r="J33" s="83"/>
      <c r="K33" s="83"/>
      <c r="L33" s="77"/>
    </row>
    <row r="34" spans="2:12" ht="15" customHeight="1"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</row>
    <row r="35" spans="2:12" ht="15" customHeight="1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</row>
    <row r="36" spans="2:12" ht="15" customHeight="1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</row>
    <row r="37" spans="2:12" ht="15" customHeight="1"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</row>
    <row r="38" spans="2:12" ht="15" customHeight="1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</row>
    <row r="39" spans="2:12" ht="15" customHeight="1"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</row>
    <row r="40" spans="2:12" ht="15" customHeight="1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</row>
    <row r="41" spans="2:12" ht="15" customHeight="1"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</row>
    <row r="42" spans="2:12" ht="15" customHeight="1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</row>
    <row r="43" spans="2:12" ht="15" customHeight="1"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</row>
    <row r="44" spans="2:12" ht="15" customHeight="1"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</row>
    <row r="45" spans="2:12" ht="15" customHeight="1"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</row>
    <row r="46" spans="2:12" ht="15" customHeight="1"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</row>
    <row r="47" spans="2:12" ht="15" customHeight="1"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</row>
    <row r="48" spans="2:12" ht="15" customHeight="1"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</row>
    <row r="49" spans="2:12" ht="15" customHeight="1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</row>
    <row r="50" spans="2:12" ht="15" customHeight="1"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</row>
    <row r="51" spans="2:12" ht="15" customHeight="1"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</row>
    <row r="52" spans="2:12" ht="15" customHeight="1"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</row>
    <row r="53" spans="2:12" ht="15" customHeight="1"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</row>
    <row r="54" spans="2:12" ht="15" customHeight="1"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</row>
    <row r="55" spans="2:12" ht="15" customHeight="1"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</row>
    <row r="56" spans="2:12" ht="15" customHeight="1"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</row>
    <row r="57" spans="2:12" ht="15" customHeight="1"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</row>
    <row r="58" spans="2:12" ht="15" customHeight="1"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</row>
    <row r="59" spans="2:12" ht="15" customHeight="1"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</row>
    <row r="60" spans="2:12" ht="15" customHeight="1"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</row>
    <row r="61" spans="2:12" ht="15" customHeight="1"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</row>
    <row r="65" spans="2:9" ht="15" customHeight="1">
      <c r="B65" s="296"/>
    </row>
    <row r="66" spans="2:9" ht="15" customHeight="1">
      <c r="B66" s="229"/>
      <c r="C66" s="52"/>
      <c r="D66" s="53"/>
      <c r="E66" s="6"/>
      <c r="F66" s="5"/>
      <c r="G66" s="5"/>
      <c r="H66" s="5"/>
    </row>
    <row r="67" spans="2:9" ht="15" customHeight="1">
      <c r="B67" s="8"/>
      <c r="C67" s="54"/>
      <c r="D67" s="53"/>
      <c r="E67" s="6"/>
      <c r="F67" s="5"/>
      <c r="G67" s="5"/>
      <c r="H67" s="5"/>
    </row>
    <row r="68" spans="2:9" ht="15" customHeight="1">
      <c r="B68" s="8"/>
      <c r="C68" s="6"/>
      <c r="D68" s="53"/>
      <c r="E68" s="6"/>
      <c r="G68" s="55"/>
      <c r="H68" s="56"/>
      <c r="I68" s="6"/>
    </row>
    <row r="69" spans="2:9" ht="15" customHeight="1">
      <c r="B69" s="8"/>
      <c r="C69" s="6"/>
      <c r="D69" s="53"/>
      <c r="E69" s="6"/>
      <c r="G69" s="55"/>
      <c r="H69" s="56"/>
      <c r="I69" s="6"/>
    </row>
    <row r="70" spans="2:9" ht="15" customHeight="1">
      <c r="B70" s="8"/>
      <c r="C70" s="6"/>
      <c r="D70" s="53"/>
      <c r="E70" s="6"/>
      <c r="G70" s="57"/>
      <c r="H70" s="58"/>
      <c r="I70" s="6"/>
    </row>
    <row r="71" spans="2:9" ht="15" customHeight="1">
      <c r="B71" s="8"/>
      <c r="C71" s="6"/>
      <c r="D71" s="53"/>
      <c r="E71" s="6"/>
      <c r="G71" s="59"/>
      <c r="H71" s="58"/>
      <c r="I71" s="6"/>
    </row>
  </sheetData>
  <sheetProtection selectLockedCells="1"/>
  <phoneticPr fontId="7" type="noConversion"/>
  <printOptions gridLinesSet="0"/>
  <pageMargins left="0.78740157499999996" right="0.78740157499999996" top="0.984251969" bottom="0.984251969" header="0.49212598499999999" footer="0.49212598499999999"/>
  <pageSetup paperSize="9" orientation="portrait" horizontalDpi="300" verticalDpi="300" r:id="rId1"/>
  <headerFooter alignWithMargins="0">
    <oddHeader>&amp;A</oddHeader>
    <oddFooter>Página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1:I15"/>
  <sheetViews>
    <sheetView showGridLines="0" zoomScaleNormal="100" workbookViewId="0">
      <selection activeCell="H8" sqref="H8"/>
    </sheetView>
  </sheetViews>
  <sheetFormatPr defaultColWidth="9.109375" defaultRowHeight="15" customHeight="1"/>
  <cols>
    <col min="1" max="1" width="3.6640625" style="4" customWidth="1"/>
    <col min="2" max="12" width="9.6640625" style="4" customWidth="1"/>
    <col min="13" max="16384" width="9.109375" style="4"/>
  </cols>
  <sheetData>
    <row r="1" spans="2:9" ht="15" customHeight="1">
      <c r="B1" s="5"/>
      <c r="C1" s="5"/>
      <c r="D1" s="5"/>
      <c r="E1" s="5"/>
      <c r="F1" s="5"/>
      <c r="G1" s="5"/>
      <c r="H1" s="5"/>
      <c r="I1" s="5"/>
    </row>
    <row r="2" spans="2:9" ht="15" customHeight="1">
      <c r="B2" s="215" t="s">
        <v>106</v>
      </c>
      <c r="C2" s="10"/>
      <c r="D2" s="10"/>
      <c r="E2" s="10"/>
      <c r="F2" s="10"/>
      <c r="G2" s="10"/>
      <c r="H2" s="10"/>
      <c r="I2" s="10"/>
    </row>
    <row r="3" spans="2:9" ht="15" customHeight="1">
      <c r="B3" s="297"/>
      <c r="C3" s="5"/>
      <c r="D3" s="5"/>
      <c r="E3" s="5"/>
      <c r="F3" s="5"/>
      <c r="G3" s="5"/>
      <c r="H3" s="5"/>
      <c r="I3" s="5"/>
    </row>
    <row r="4" spans="2:9" ht="15" customHeight="1">
      <c r="B4" s="5"/>
      <c r="C4" s="5"/>
      <c r="D4" s="5"/>
      <c r="E4" s="5"/>
      <c r="F4" s="5"/>
      <c r="G4" s="5"/>
      <c r="H4" s="5"/>
      <c r="I4" s="5"/>
    </row>
    <row r="5" spans="2:9" ht="15" customHeight="1">
      <c r="B5" s="298"/>
      <c r="C5" s="299"/>
      <c r="D5" s="299"/>
      <c r="E5" s="84" t="s">
        <v>107</v>
      </c>
      <c r="F5" s="299"/>
      <c r="G5" s="299"/>
      <c r="H5" s="85" t="s">
        <v>108</v>
      </c>
      <c r="I5" s="300"/>
    </row>
    <row r="6" spans="2:9" ht="15" customHeight="1">
      <c r="B6" s="301"/>
      <c r="C6" s="79"/>
      <c r="D6" s="79"/>
      <c r="E6" s="86"/>
      <c r="F6" s="79"/>
      <c r="G6" s="79"/>
      <c r="H6" s="87"/>
      <c r="I6" s="80"/>
    </row>
    <row r="7" spans="2:9" ht="15" customHeight="1">
      <c r="B7" s="302" t="s">
        <v>109</v>
      </c>
      <c r="C7" s="45"/>
      <c r="D7" s="45"/>
      <c r="E7" s="303">
        <f>H7</f>
        <v>1025.9000000000001</v>
      </c>
      <c r="F7" s="304" t="s">
        <v>110</v>
      </c>
      <c r="G7" s="305"/>
      <c r="H7" s="306">
        <v>1025.9000000000001</v>
      </c>
      <c r="I7" s="307" t="s">
        <v>110</v>
      </c>
    </row>
    <row r="8" spans="2:9" ht="15" customHeight="1">
      <c r="B8" s="302" t="s">
        <v>111</v>
      </c>
      <c r="C8" s="45"/>
      <c r="D8" s="45"/>
      <c r="E8" s="308">
        <f>H8</f>
        <v>1.18831E-6</v>
      </c>
      <c r="F8" s="304" t="s">
        <v>112</v>
      </c>
      <c r="G8" s="45"/>
      <c r="H8" s="309">
        <v>1.18831E-6</v>
      </c>
      <c r="I8" s="307" t="s">
        <v>112</v>
      </c>
    </row>
    <row r="9" spans="2:9" ht="15" customHeight="1">
      <c r="B9" s="302" t="s">
        <v>113</v>
      </c>
      <c r="C9" s="45"/>
      <c r="D9" s="45"/>
      <c r="E9" s="308">
        <f>H9</f>
        <v>1.2190872290000002E-3</v>
      </c>
      <c r="F9" s="304" t="s">
        <v>114</v>
      </c>
      <c r="G9" s="305"/>
      <c r="H9" s="309">
        <v>1.2190872290000002E-3</v>
      </c>
      <c r="I9" s="307" t="s">
        <v>114</v>
      </c>
    </row>
    <row r="10" spans="2:9" ht="15" customHeight="1">
      <c r="B10" s="310"/>
      <c r="C10" s="311"/>
      <c r="D10" s="311"/>
      <c r="E10" s="311"/>
      <c r="F10" s="305"/>
      <c r="G10" s="311"/>
      <c r="H10" s="311"/>
      <c r="I10" s="312"/>
    </row>
    <row r="11" spans="2:9" ht="15" customHeight="1">
      <c r="B11" s="302" t="s">
        <v>115</v>
      </c>
      <c r="C11" s="45"/>
      <c r="D11" s="45"/>
      <c r="E11" s="313">
        <f>H11</f>
        <v>101325</v>
      </c>
      <c r="F11" s="304" t="s">
        <v>91</v>
      </c>
      <c r="G11" s="305"/>
      <c r="H11" s="314">
        <v>101325</v>
      </c>
      <c r="I11" s="307" t="s">
        <v>91</v>
      </c>
    </row>
    <row r="12" spans="2:9" ht="15" customHeight="1">
      <c r="B12" s="302" t="s">
        <v>116</v>
      </c>
      <c r="C12" s="45"/>
      <c r="D12" s="45"/>
      <c r="E12" s="313">
        <f>H12</f>
        <v>1705.1</v>
      </c>
      <c r="F12" s="304" t="s">
        <v>91</v>
      </c>
      <c r="G12" s="305"/>
      <c r="H12" s="314">
        <v>1705.1</v>
      </c>
      <c r="I12" s="307" t="s">
        <v>91</v>
      </c>
    </row>
    <row r="13" spans="2:9" ht="15" customHeight="1">
      <c r="B13" s="302" t="s">
        <v>117</v>
      </c>
      <c r="C13" s="45"/>
      <c r="D13" s="45"/>
      <c r="E13" s="315">
        <f>H13</f>
        <v>9.8070000000000004</v>
      </c>
      <c r="F13" s="304" t="s">
        <v>118</v>
      </c>
      <c r="G13" s="305"/>
      <c r="H13" s="316">
        <v>9.8070000000000004</v>
      </c>
      <c r="I13" s="307" t="s">
        <v>118</v>
      </c>
    </row>
    <row r="14" spans="2:9" ht="15" customHeight="1">
      <c r="B14" s="317"/>
      <c r="C14" s="76"/>
      <c r="D14" s="76"/>
      <c r="E14" s="318"/>
      <c r="F14" s="319"/>
      <c r="G14" s="320"/>
      <c r="H14" s="318"/>
      <c r="I14" s="321"/>
    </row>
    <row r="15" spans="2:9" ht="15" customHeight="1">
      <c r="B15" s="5"/>
      <c r="C15" s="5"/>
      <c r="D15" s="5"/>
      <c r="E15" s="5"/>
      <c r="F15" s="5"/>
      <c r="G15" s="5"/>
      <c r="H15" s="5"/>
      <c r="I15" s="5"/>
    </row>
  </sheetData>
  <sheetProtection selectLockedCells="1"/>
  <phoneticPr fontId="7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B1:O23"/>
  <sheetViews>
    <sheetView showGridLines="0" topLeftCell="C1" zoomScaleNormal="100" workbookViewId="0">
      <selection activeCell="D14" sqref="D14:D15"/>
    </sheetView>
  </sheetViews>
  <sheetFormatPr defaultColWidth="9.109375" defaultRowHeight="15" customHeight="1"/>
  <cols>
    <col min="1" max="1" width="3.6640625" style="156" customWidth="1"/>
    <col min="2" max="2" width="1.6640625" style="156" customWidth="1"/>
    <col min="3" max="3" width="2.6640625" style="156" customWidth="1"/>
    <col min="4" max="4" width="22.6640625" style="156" customWidth="1"/>
    <col min="5" max="6" width="9.6640625" style="156" customWidth="1"/>
    <col min="7" max="7" width="12.6640625" style="156" customWidth="1"/>
    <col min="8" max="8" width="9.6640625" style="156" customWidth="1"/>
    <col min="9" max="12" width="12.6640625" style="156" customWidth="1"/>
    <col min="13" max="13" width="10.6640625" style="156" customWidth="1"/>
    <col min="14" max="14" width="1.6640625" style="156" customWidth="1"/>
    <col min="15" max="16384" width="9.109375" style="156"/>
  </cols>
  <sheetData>
    <row r="1" spans="2:14" ht="15" customHeight="1" thickBot="1"/>
    <row r="2" spans="2:14" ht="15" customHeight="1" thickBot="1">
      <c r="B2" s="157"/>
      <c r="C2" s="158" t="s">
        <v>119</v>
      </c>
      <c r="D2" s="157"/>
      <c r="E2" s="159"/>
      <c r="F2" s="159"/>
      <c r="G2" s="160"/>
      <c r="H2" s="159"/>
      <c r="I2" s="161"/>
      <c r="J2" s="161"/>
      <c r="K2" s="161"/>
      <c r="L2" s="161"/>
      <c r="M2" s="159"/>
      <c r="N2" s="162"/>
    </row>
    <row r="3" spans="2:14" ht="12.75" customHeight="1">
      <c r="B3" s="163"/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5"/>
    </row>
    <row r="4" spans="2:14" ht="48" customHeight="1">
      <c r="B4" s="166"/>
      <c r="C4" s="167"/>
      <c r="D4" s="168"/>
      <c r="E4" s="169" t="s">
        <v>120</v>
      </c>
      <c r="F4" s="170"/>
      <c r="G4" s="170"/>
      <c r="H4" s="170"/>
      <c r="I4" s="170"/>
      <c r="J4" s="170"/>
      <c r="K4" s="170"/>
      <c r="L4" s="170"/>
      <c r="M4" s="170"/>
      <c r="N4" s="171"/>
    </row>
    <row r="5" spans="2:14" ht="9.9" customHeight="1">
      <c r="B5" s="166"/>
      <c r="C5" s="167"/>
      <c r="D5" s="168"/>
      <c r="E5" s="170"/>
      <c r="F5" s="170"/>
      <c r="G5" s="170"/>
      <c r="H5" s="170"/>
      <c r="I5" s="170"/>
      <c r="J5" s="170"/>
      <c r="K5" s="170"/>
      <c r="L5" s="170"/>
      <c r="M5" s="170"/>
      <c r="N5" s="171"/>
    </row>
    <row r="6" spans="2:14" ht="12.75" customHeight="1">
      <c r="B6" s="166"/>
      <c r="C6" s="167"/>
      <c r="D6" s="168"/>
      <c r="E6" s="172" t="s">
        <v>121</v>
      </c>
      <c r="F6" s="170"/>
      <c r="G6" s="170"/>
      <c r="H6" s="170"/>
      <c r="I6" s="172" t="s">
        <v>22</v>
      </c>
      <c r="J6" s="172"/>
      <c r="K6" s="172"/>
      <c r="L6" s="172"/>
      <c r="M6" s="170"/>
      <c r="N6" s="171"/>
    </row>
    <row r="7" spans="2:14" ht="12.75" customHeight="1">
      <c r="B7" s="166"/>
      <c r="C7" s="167"/>
      <c r="D7" s="168"/>
      <c r="E7" s="170"/>
      <c r="F7" s="170"/>
      <c r="G7" s="170"/>
      <c r="H7" s="170"/>
      <c r="I7" s="170"/>
      <c r="J7" s="170"/>
      <c r="K7" s="170"/>
      <c r="L7" s="170"/>
      <c r="M7" s="170"/>
      <c r="N7" s="171"/>
    </row>
    <row r="8" spans="2:14" ht="15" customHeight="1">
      <c r="B8" s="166"/>
      <c r="C8" s="173"/>
      <c r="D8" s="174"/>
      <c r="E8" s="174"/>
      <c r="F8" s="174"/>
      <c r="G8" s="174"/>
      <c r="H8" s="174"/>
      <c r="I8" s="174"/>
      <c r="J8" s="174"/>
      <c r="K8" s="174"/>
      <c r="L8" s="174"/>
      <c r="M8" s="175"/>
      <c r="N8" s="171"/>
    </row>
    <row r="9" spans="2:14" ht="15" customHeight="1">
      <c r="B9" s="166"/>
      <c r="C9" s="176"/>
      <c r="D9" s="177" t="s">
        <v>122</v>
      </c>
      <c r="E9" s="178"/>
      <c r="F9" s="178"/>
      <c r="G9" s="178"/>
      <c r="H9" s="178"/>
      <c r="I9" s="181"/>
      <c r="J9" s="181"/>
      <c r="K9" s="181"/>
      <c r="L9" s="181"/>
      <c r="M9" s="180"/>
      <c r="N9" s="171"/>
    </row>
    <row r="10" spans="2:14" ht="15" customHeight="1">
      <c r="B10" s="166"/>
      <c r="C10" s="176"/>
      <c r="D10" s="177" t="s">
        <v>123</v>
      </c>
      <c r="E10" s="178"/>
      <c r="F10" s="178"/>
      <c r="G10" s="178"/>
      <c r="H10" s="178"/>
      <c r="I10" s="179"/>
      <c r="J10" s="179"/>
      <c r="K10" s="179"/>
      <c r="L10" s="179"/>
      <c r="M10" s="180"/>
      <c r="N10" s="171"/>
    </row>
    <row r="11" spans="2:14" ht="15" customHeight="1">
      <c r="B11" s="166"/>
      <c r="C11" s="176"/>
      <c r="D11" s="177"/>
      <c r="E11" s="178"/>
      <c r="F11" s="178"/>
      <c r="G11" s="178"/>
      <c r="H11" s="178"/>
      <c r="I11" s="179"/>
      <c r="J11" s="179"/>
      <c r="K11" s="179"/>
      <c r="L11" s="179"/>
      <c r="M11" s="180"/>
      <c r="N11" s="171"/>
    </row>
    <row r="12" spans="2:14" ht="15" customHeight="1">
      <c r="B12" s="166"/>
      <c r="C12" s="176"/>
      <c r="D12" s="177" t="s">
        <v>124</v>
      </c>
      <c r="E12" s="178"/>
      <c r="F12" s="178"/>
      <c r="G12" s="178"/>
      <c r="H12" s="178"/>
      <c r="I12" s="179"/>
      <c r="J12" s="179"/>
      <c r="K12" s="179"/>
      <c r="L12" s="179"/>
      <c r="M12" s="180"/>
      <c r="N12" s="171"/>
    </row>
    <row r="13" spans="2:14" ht="15" customHeight="1">
      <c r="B13" s="166"/>
      <c r="C13" s="176"/>
      <c r="D13" s="177"/>
      <c r="E13" s="178"/>
      <c r="F13" s="178"/>
      <c r="G13" s="178"/>
      <c r="H13" s="178"/>
      <c r="I13" s="181"/>
      <c r="J13" s="181"/>
      <c r="K13" s="181"/>
      <c r="L13" s="181"/>
      <c r="M13" s="180"/>
      <c r="N13" s="171"/>
    </row>
    <row r="14" spans="2:14" ht="15" customHeight="1">
      <c r="B14" s="166"/>
      <c r="C14" s="176"/>
      <c r="D14" s="322" t="s">
        <v>125</v>
      </c>
      <c r="E14" s="178"/>
      <c r="F14" s="178"/>
      <c r="G14" s="178"/>
      <c r="H14" s="178"/>
      <c r="I14" s="179"/>
      <c r="J14" s="179"/>
      <c r="K14" s="179"/>
      <c r="L14" s="179"/>
      <c r="M14" s="180"/>
      <c r="N14" s="171"/>
    </row>
    <row r="15" spans="2:14" ht="15" customHeight="1">
      <c r="B15" s="166"/>
      <c r="C15" s="176"/>
      <c r="D15" s="177" t="s">
        <v>126</v>
      </c>
      <c r="E15" s="178"/>
      <c r="F15" s="178"/>
      <c r="G15" s="178"/>
      <c r="H15" s="178"/>
      <c r="I15" s="179"/>
      <c r="J15" s="179"/>
      <c r="K15" s="179"/>
      <c r="L15" s="179"/>
      <c r="M15" s="180"/>
      <c r="N15" s="171"/>
    </row>
    <row r="16" spans="2:14" ht="15" customHeight="1">
      <c r="B16" s="166"/>
      <c r="C16" s="182"/>
      <c r="D16" s="183"/>
      <c r="E16" s="183"/>
      <c r="F16" s="183"/>
      <c r="G16" s="183"/>
      <c r="H16" s="183"/>
      <c r="I16" s="183"/>
      <c r="J16" s="183"/>
      <c r="K16" s="183"/>
      <c r="L16" s="183"/>
      <c r="M16" s="184"/>
      <c r="N16" s="171"/>
    </row>
    <row r="17" spans="2:15" ht="15" customHeight="1" thickBot="1">
      <c r="B17" s="185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N17" s="187"/>
    </row>
    <row r="19" spans="2:15" ht="15" customHeight="1">
      <c r="O19" s="179"/>
    </row>
    <row r="20" spans="2:15" ht="15" customHeight="1">
      <c r="E20" s="214"/>
    </row>
    <row r="21" spans="2:15" ht="15" customHeight="1">
      <c r="D21" s="62"/>
      <c r="E21" s="8"/>
      <c r="F21" s="6"/>
      <c r="G21" s="6"/>
      <c r="H21" s="6"/>
      <c r="I21" s="6"/>
    </row>
    <row r="23" spans="2:15" ht="15" customHeight="1">
      <c r="D23" s="62"/>
      <c r="I23" s="188"/>
      <c r="J23" s="188"/>
      <c r="K23" s="188"/>
      <c r="L23" s="188"/>
      <c r="M23" s="188"/>
    </row>
  </sheetData>
  <sheetProtection selectLockedCells="1"/>
  <pageMargins left="0.78740157499999996" right="0.78740157499999996" top="0.984251969" bottom="0.984251969" header="0.49212598499999999" footer="0.49212598499999999"/>
  <headerFooter alignWithMargins="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a7e1e39-50e6-4dd2-a8b3-01c73cfa8790" xsi:nil="true"/>
    <lcf76f155ced4ddcb4097134ff3c332f xmlns="8a880595-380a-4989-a432-ebd3c0d6b8a3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8B31AD89168AE48AA3017BBCB57CB80" ma:contentTypeVersion="15" ma:contentTypeDescription="Crie um novo documento." ma:contentTypeScope="" ma:versionID="690f95dfbb7f008525dc9213e245f698">
  <xsd:schema xmlns:xsd="http://www.w3.org/2001/XMLSchema" xmlns:xs="http://www.w3.org/2001/XMLSchema" xmlns:p="http://schemas.microsoft.com/office/2006/metadata/properties" xmlns:ns2="8a880595-380a-4989-a432-ebd3c0d6b8a3" xmlns:ns3="ea7e1e39-50e6-4dd2-a8b3-01c73cfa8790" targetNamespace="http://schemas.microsoft.com/office/2006/metadata/properties" ma:root="true" ma:fieldsID="175011d65baf8535d88ca4c9c0f83f76" ns2:_="" ns3:_="">
    <xsd:import namespace="8a880595-380a-4989-a432-ebd3c0d6b8a3"/>
    <xsd:import namespace="ea7e1e39-50e6-4dd2-a8b3-01c73cfa879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880595-380a-4989-a432-ebd3c0d6b8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Marcações de imagem" ma:readOnly="false" ma:fieldId="{5cf76f15-5ced-4ddc-b409-7134ff3c332f}" ma:taxonomyMulti="true" ma:sspId="08a3ec11-859f-483e-a264-544ba2cb27c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7e1e39-50e6-4dd2-a8b3-01c73cfa8790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a5f255a1-f863-4514-bf5c-9177b67110d2}" ma:internalName="TaxCatchAll" ma:showField="CatchAllData" ma:web="ea7e1e39-50e6-4dd2-a8b3-01c73cfa879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EB8F628-2ED6-4882-B75A-23A99EF56A96}">
  <ds:schemaRefs>
    <ds:schemaRef ds:uri="http://purl.org/dc/elements/1.1/"/>
    <ds:schemaRef ds:uri="http://www.w3.org/XML/1998/namespace"/>
    <ds:schemaRef ds:uri="http://schemas.openxmlformats.org/package/2006/metadata/core-properties"/>
    <ds:schemaRef ds:uri="8a880595-380a-4989-a432-ebd3c0d6b8a3"/>
    <ds:schemaRef ds:uri="http://purl.org/dc/terms/"/>
    <ds:schemaRef ds:uri="ea7e1e39-50e6-4dd2-a8b3-01c73cfa8790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5D85C49-053C-4AB2-A7EA-D860494AB7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a880595-380a-4989-a432-ebd3c0d6b8a3"/>
    <ds:schemaRef ds:uri="ea7e1e39-50e6-4dd2-a8b3-01c73cfa879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9C4E1CA-EDBC-409E-B33F-F3417CB7213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Gráficos</vt:lpstr>
      </vt:variant>
      <vt:variant>
        <vt:i4>1</vt:i4>
      </vt:variant>
    </vt:vector>
  </HeadingPairs>
  <TitlesOfParts>
    <vt:vector size="6" baseType="lpstr">
      <vt:lpstr>Principal</vt:lpstr>
      <vt:lpstr>Cálculo</vt:lpstr>
      <vt:lpstr>Cavitação</vt:lpstr>
      <vt:lpstr>Propriedades</vt:lpstr>
      <vt:lpstr>Referências</vt:lpstr>
      <vt:lpstr>Curvas KT, KQ x J</vt:lpstr>
    </vt:vector>
  </TitlesOfParts>
  <Manager>----------</Manager>
  <Company>DENO / UFRJ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Propulsores - Série B</dc:title>
  <dc:subject>Seleção do Propulsor Ótimo</dc:subject>
  <dc:creator>Alexandre Teixeira P. Alho</dc:creator>
  <cp:keywords>Propulsores</cp:keywords>
  <dc:description/>
  <cp:lastModifiedBy>Leonardo</cp:lastModifiedBy>
  <cp:revision/>
  <dcterms:created xsi:type="dcterms:W3CDTF">1999-07-05T21:44:28Z</dcterms:created>
  <dcterms:modified xsi:type="dcterms:W3CDTF">2024-06-12T22:39:16Z</dcterms:modified>
  <cp:category>Projeto de Embarcações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0x010100C8B31AD89168AE48AA3017BBCB57CB80</vt:lpwstr>
  </property>
  <property fmtid="{D5CDD505-2E9C-101B-9397-08002B2CF9AE}" pid="3" name="MediaServiceImageTags">
    <vt:lpwstr/>
  </property>
</Properties>
</file>